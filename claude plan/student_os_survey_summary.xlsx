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ภาพรวม" sheetId="1" state="visible" r:id="rId3"/>
    <sheet name="ข้อมูลผู้ตอบ" sheetId="2" state="visible" r:id="rId4"/>
    <sheet name="พฤติกรรม-PainPoints" sheetId="3" state="visible" r:id="rId5"/>
    <sheet name="เครื่องมือเดิม" sheetId="4" state="visible" r:id="rId6"/>
    <sheet name="เป้าหมายการเรียน" sheetId="5" state="visible" r:id="rId7"/>
    <sheet name="ความต้องการฟีเจอร์" sheetId="6" state="visible" r:id="rId8"/>
    <sheet name="จ่ายเงิน" sheetId="7" state="visible" r:id="rId9"/>
    <sheet name="คำตอบปลายเปิด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<sst xmlns="http://schemas.openxmlformats.org/spreadsheetml/2006/main" count="420" uniqueCount="254">
  <si>
    <t xml:space="preserve">สรุปแบบสอบถามผู้ใช้ - Student OS</t>
  </si>
  <si>
    <t xml:space="preserve">แหล่งข้อมูล</t>
  </si>
  <si>
    <t xml:space="preserve">การตอบแบบฟอร์ม (Google Form) - นำเข้าเมื่อ 8 ส.ค. 2026</t>
  </si>
  <si>
    <t xml:space="preserve">จำนวนผู้ตอบทั้งหมด</t>
  </si>
  <si>
    <t xml:space="preserve">ช่วงเวลาตอบ</t>
  </si>
  <si>
    <t xml:space="preserve">3–8 ส.ค. 2026</t>
  </si>
  <si>
    <t xml:space="preserve">Insight เด่น 1</t>
  </si>
  <si>
    <t xml:space="preserve">Pain point หลัก: ลืมส่งงาน (90% เคยลืม) เพราะ "งานเยอะ" (71%) และ "จำวันส่งไม่ได้" (56%) ไม่ใช่ขี้เกียจอย่างเดียว</t>
  </si>
  <si>
    <t xml:space="preserve">Insight เด่น 2</t>
  </si>
  <si>
    <t xml:space="preserve">ฟีเจอร์ที่คนอยากได้มากสุด: Smart Dashboard &amp; Timetable (69%) และ Smart Reminder (61%) - ตรงกับ pain point อันดับ 1</t>
  </si>
  <si>
    <t xml:space="preserve">Insight เด่น 3</t>
  </si>
  <si>
    <t xml:space="preserve">ความเครียดหลักคือเรื่องอนาคต/สอบ (คะแนน 71%, สอบ 69%, อนาคต 64%) มากกว่าการบ้านรายวัน (36%)</t>
  </si>
  <si>
    <t xml:space="preserve">Insight เด่น 4</t>
  </si>
  <si>
    <t xml:space="preserve">76% ไม่เคยใช้แอปจัดการงานเลย (ตลาดยังเปิดกว้าง) ส่วนใหญ่เพราะ "ไม่รู้จัก" ไม่ใช่ลองแล้วไม่ชอบ</t>
  </si>
  <si>
    <t xml:space="preserve">Insight เด่น 5</t>
  </si>
  <si>
    <t xml:space="preserve">90% บอกจะลองใช้ฟรีแน่นอน/น่าจะลอง แต่ willingness to pay กระจายมาก (25% ไม่จ่ายเลย, 25% จ่าย 50-99 บาท)</t>
  </si>
  <si>
    <t xml:space="preserve">สารบัญ</t>
  </si>
  <si>
    <t xml:space="preserve">ดูรายละเอียดในแท็บ: ข้อมูลผู้ตอบ | พฤติกรรม-PainPoints | เครื่องมือเดิม | เป้าหมายการเรียน | ความต้องการฟีเจอร์ | จ่ายเงิน | คำตอบปลายเปิด</t>
  </si>
  <si>
    <t xml:space="preserve">ข้อมูลประชากรผู้ตอบ (Demographics)</t>
  </si>
  <si>
    <t xml:space="preserve">อายุ</t>
  </si>
  <si>
    <t xml:space="preserve">ฐาน (n ตอบคำถามนี้)</t>
  </si>
  <si>
    <t xml:space="preserve">ตัวเลือก</t>
  </si>
  <si>
    <t xml:space="preserve">จำนวน (คน)</t>
  </si>
  <si>
    <t xml:space="preserve">% ของฐาน</t>
  </si>
  <si>
    <t xml:space="preserve">แผนภาพ</t>
  </si>
  <si>
    <t xml:space="preserve">16</t>
  </si>
  <si>
    <t xml:space="preserve">█████████</t>
  </si>
  <si>
    <t xml:space="preserve">17</t>
  </si>
  <si>
    <t xml:space="preserve">██████</t>
  </si>
  <si>
    <t xml:space="preserve">15</t>
  </si>
  <si>
    <t xml:space="preserve">██</t>
  </si>
  <si>
    <t xml:space="preserve">18 หรือมากกว่า</t>
  </si>
  <si>
    <t xml:space="preserve">█</t>
  </si>
  <si>
    <t xml:space="preserve">14</t>
  </si>
  <si>
    <t xml:space="preserve">กำลังศึกษาอยู่</t>
  </si>
  <si>
    <t xml:space="preserve">ม.5</t>
  </si>
  <si>
    <t xml:space="preserve">███████████████</t>
  </si>
  <si>
    <t xml:space="preserve">ม.4</t>
  </si>
  <si>
    <t xml:space="preserve">███</t>
  </si>
  <si>
    <t xml:space="preserve">ม.6</t>
  </si>
  <si>
    <t xml:space="preserve">จบปริญญาตรี</t>
  </si>
  <si>
    <t xml:space="preserve">ม.3</t>
  </si>
  <si>
    <t xml:space="preserve">แผนการเรียน</t>
  </si>
  <si>
    <t xml:space="preserve">วิทย์-คณิต</t>
  </si>
  <si>
    <t xml:space="preserve">██████████████</t>
  </si>
  <si>
    <t xml:space="preserve">ศิลป์-ภาษา</t>
  </si>
  <si>
    <t xml:space="preserve">อาชีวะ</t>
  </si>
  <si>
    <t xml:space="preserve">วิ คะนิด คอม</t>
  </si>
  <si>
    <t xml:space="preserve">นอกโลก</t>
  </si>
  <si>
    <t xml:space="preserve">SMT</t>
  </si>
  <si>
    <t xml:space="preserve">ไทย-สังคม</t>
  </si>
  <si>
    <t xml:space="preserve">ศิลป์-คำนวณ</t>
  </si>
  <si>
    <t xml:space="preserve">ดิจิทัลกราฟฟิก</t>
  </si>
  <si>
    <t xml:space="preserve">smt</t>
  </si>
  <si>
    <t xml:space="preserve">นิติศาสตร์</t>
  </si>
  <si>
    <t xml:space="preserve">Smt</t>
  </si>
  <si>
    <t xml:space="preserve">คำนวณ</t>
  </si>
  <si>
    <t xml:space="preserve">คณิต-อังกฤษ</t>
  </si>
  <si>
    <t xml:space="preserve">EP</t>
  </si>
  <si>
    <t xml:space="preserve">วิทย์-คณิต-อังกฤษ</t>
  </si>
  <si>
    <t xml:space="preserve">หมายเหตุ: มีการสะกด/พิมพ์ต่างกัน (เช่น smt, Smt, SMT) เก็บตามคำตอบจริงของผู้ตอบ</t>
  </si>
  <si>
    <t xml:space="preserve">พฤติกรรมการเรียน และ Pain Points</t>
  </si>
  <si>
    <t xml:space="preserve">ความถี่การบ้านใหม่</t>
  </si>
  <si>
    <t xml:space="preserve">3–5 ครั้ง/สัปดาห์</t>
  </si>
  <si>
    <t xml:space="preserve">ทุกวัน</t>
  </si>
  <si>
    <t xml:space="preserve">███████</t>
  </si>
  <si>
    <t xml:space="preserve">1–2 ครั้ง/สัปดาห์</t>
  </si>
  <si>
    <t xml:space="preserve">ไม่ค่อยมี</t>
  </si>
  <si>
    <t xml:space="preserve">งานค้างปัจจุบัน</t>
  </si>
  <si>
    <t xml:space="preserve">3 - 5 งาน</t>
  </si>
  <si>
    <t xml:space="preserve">████████</t>
  </si>
  <si>
    <t xml:space="preserve">1 - 2 งาน</t>
  </si>
  <si>
    <t xml:space="preserve">มากกว่า 5 งาน</t>
  </si>
  <si>
    <t xml:space="preserve">ไม่มี</t>
  </si>
  <si>
    <t xml:space="preserve">เคยลืมส่งงาน</t>
  </si>
  <si>
    <t xml:space="preserve">นาน ๆ ครั้ง</t>
  </si>
  <si>
    <t xml:space="preserve">████████████</t>
  </si>
  <si>
    <t xml:space="preserve">บ่อย</t>
  </si>
  <si>
    <t xml:space="preserve">█████</t>
  </si>
  <si>
    <t xml:space="preserve">เป็นประจำ</t>
  </si>
  <si>
    <t xml:space="preserve">ไม่เคย</t>
  </si>
  <si>
    <t xml:space="preserve">สาเหตุที่ลืมส่งงาน (เลือกได้หลายข้อ)</t>
  </si>
  <si>
    <t xml:space="preserve">ฐาน (n คนตอบคำถามนี้ - เลือกได้หลายข้อ)</t>
  </si>
  <si>
    <t xml:space="preserve">งานเยอะ</t>
  </si>
  <si>
    <t xml:space="preserve">จำวันส่งไม่ได้</t>
  </si>
  <si>
    <t xml:space="preserve">███████████</t>
  </si>
  <si>
    <t xml:space="preserve">ลืมจด</t>
  </si>
  <si>
    <t xml:space="preserve">ขี้เกียจ</t>
  </si>
  <si>
    <t xml:space="preserve">ไม่มีเวลา</t>
  </si>
  <si>
    <t xml:space="preserve">ไม่มีแอปช่วยจัดการ</t>
  </si>
  <si>
    <t xml:space="preserve">████</t>
  </si>
  <si>
    <t xml:space="preserve">พันงาน ส่งวันเดียว</t>
  </si>
  <si>
    <t xml:space="preserve">ปัจจุบันจัดการงานอย่างไร (เลือกได้หลายข้อ)</t>
  </si>
  <si>
    <t xml:space="preserve">จำเอา</t>
  </si>
  <si>
    <t xml:space="preserve">Notes</t>
  </si>
  <si>
    <t xml:space="preserve">จดสมุด</t>
  </si>
  <si>
    <t xml:space="preserve">Line</t>
  </si>
  <si>
    <t xml:space="preserve">Google classroom</t>
  </si>
  <si>
    <t xml:space="preserve">Calendar</t>
  </si>
  <si>
    <t xml:space="preserve">ถามเพื่อน</t>
  </si>
  <si>
    <t xml:space="preserve">ไม่ทํา</t>
  </si>
  <si>
    <t xml:space="preserve">ไม่ทำไร</t>
  </si>
  <si>
    <t xml:space="preserve">Notion</t>
  </si>
  <si>
    <t xml:space="preserve">ความรู้สึกวุ่นวายในการจัดการงาน (1=ง่ายมาก, 5=วุ่นวายมาก)</t>
  </si>
  <si>
    <t xml:space="preserve">3</t>
  </si>
  <si>
    <t xml:space="preserve">4</t>
  </si>
  <si>
    <t xml:space="preserve">5</t>
  </si>
  <si>
    <t xml:space="preserve">2</t>
  </si>
  <si>
    <t xml:space="preserve">1</t>
  </si>
  <si>
    <t xml:space="preserve">สิ่งที่ทำให้เครียดที่สุด (เลือกได้หลายข้อ)</t>
  </si>
  <si>
    <t xml:space="preserve">คะแนน</t>
  </si>
  <si>
    <t xml:space="preserve">สอบ</t>
  </si>
  <si>
    <t xml:space="preserve">อนาคต</t>
  </si>
  <si>
    <t xml:space="preserve">█████████████</t>
  </si>
  <si>
    <t xml:space="preserve">เวลา</t>
  </si>
  <si>
    <t xml:space="preserve">██████████</t>
  </si>
  <si>
    <t xml:space="preserve">TCAS</t>
  </si>
  <si>
    <t xml:space="preserve">การบ้าน</t>
  </si>
  <si>
    <t xml:space="preserve">ตารางเรียน</t>
  </si>
  <si>
    <t xml:space="preserve">ไม่มีเงิน</t>
  </si>
  <si>
    <t xml:space="preserve">ประสบการณ์ใช้แอป/เครื่องมือจัดการงานเดิม</t>
  </si>
  <si>
    <t xml:space="preserve">เคยใช้ Notion / TickTick / Obsidian หรือไม่</t>
  </si>
  <si>
    <t xml:space="preserve">ไม่เคยใช้</t>
  </si>
  <si>
    <t xml:space="preserve">เคยใช้แต่เลิกแล้ว</t>
  </si>
  <si>
    <t xml:space="preserve">ใช้อยู่</t>
  </si>
  <si>
    <t xml:space="preserve">ถ้าเคยใช้แต่เลิก - เพราะอะไร (เลือกได้หลายข้อ)</t>
  </si>
  <si>
    <t xml:space="preserve">ใช้ยาก / ซับซ้อนเกินไป</t>
  </si>
  <si>
    <t xml:space="preserve">ขี้เกียจเปิด</t>
  </si>
  <si>
    <t xml:space="preserve">ขี้เกียจพิมพ์/กรอกข้อมูลเอง</t>
  </si>
  <si>
    <t xml:space="preserve">ตั้งค่ายุ่งยาก</t>
  </si>
  <si>
    <t xml:space="preserve">ไม่รู้จัก</t>
  </si>
  <si>
    <t xml:space="preserve">แอปเป็นภาษาอังกฤษ ไม่มีภาษาไทย</t>
  </si>
  <si>
    <t xml:space="preserve">ฐานเล็ก (n=12) เพราะมีคนกลุ่ม "เคยใช้แต่เลิกแล้ว" เท่านั้น - ตีความอย่างระมัดระวัง</t>
  </si>
  <si>
    <t xml:space="preserve">ถ้าไม่เคยใช้เลย - เพราะอะไร (เลือกได้หลายข้อ)</t>
  </si>
  <si>
    <t xml:space="preserve">████████████████</t>
  </si>
  <si>
    <t xml:space="preserve">ใช้แอปอื่น</t>
  </si>
  <si>
    <t xml:space="preserve">ไม่จำเป็น</t>
  </si>
  <si>
    <t xml:space="preserve">ดูยุ่งยาก</t>
  </si>
  <si>
    <t xml:space="preserve">เป้าหมายการเรียน และความกังวล</t>
  </si>
  <si>
    <t xml:space="preserve">รู้เป้าหมายเรียนต่อ</t>
  </si>
  <si>
    <t xml:space="preserve">รู้แล้ว</t>
  </si>
  <si>
    <t xml:space="preserve">กำลังหา</t>
  </si>
  <si>
    <t xml:space="preserve">ยังไม่รู้เลย</t>
  </si>
  <si>
    <t xml:space="preserve">เวียนโคนยาง</t>
  </si>
  <si>
    <t xml:space="preserve">ติดตามเกรด</t>
  </si>
  <si>
    <t xml:space="preserve">คำนวณและติดตามคะแนนย่อยตลอด เพื่อให้ได้เกรดที่หวัง</t>
  </si>
  <si>
    <t xml:space="preserve">ดูแค่วิชาสำคัญ / วิชาที่กลัวติดศูนย์หรือได้เกรดน้อย</t>
  </si>
  <si>
    <t xml:space="preserve">(สำหรับ ม.ปลาย) เริ่มคำนวณ GPAX / คะแนน TCAS เพื่อเข้า ม. แล้ว</t>
  </si>
  <si>
    <t xml:space="preserve">ไม่เคยคำนวณ รอดูเกรดทีเดียวตอนออก</t>
  </si>
  <si>
    <t xml:space="preserve">กังวลเรื่องอะไรที่สุด</t>
  </si>
  <si>
    <t xml:space="preserve">เกรดเฉลี่ย (GPAX) ไม่ถึงเป้า</t>
  </si>
  <si>
    <t xml:space="preserve">การเตรียมสอบ TCAS / A-Level / TGAT-TPAT</t>
  </si>
  <si>
    <t xml:space="preserve">การทำ Portfolio / ผลงาน</t>
  </si>
  <si>
    <t xml:space="preserve">ยังไม่รู้ว่าตัวเองอยากเรียนคณะอะไร</t>
  </si>
  <si>
    <t xml:space="preserve">จัดการเวลาทำ homework/อ่านหนังสือไม่ได้</t>
  </si>
  <si>
    <t xml:space="preserve">ฟีเจอร์ที่ผู้ใช้ต้องการมากที่สุด</t>
  </si>
  <si>
    <t xml:space="preserve">หากพัฒนาแอปเพื่อนักเรียนไทย เลือกฟีเจอร์ที่อยากใช้มากที่สุด (เลือกได้หลายข้อ, n=59)</t>
  </si>
  <si>
    <t xml:space="preserve">Smart Dashboard &amp; Timetable: ตารางเรียน + รวมงานที่ต้องส่งในหน้าเดียว</t>
  </si>
  <si>
    <t xml:space="preserve">Smart Reminder: แจ้งเตือนเตือนกันลืมส่งงานแบบตั้งค่าได้ละเอียด</t>
  </si>
  <si>
    <t xml:space="preserve">TCAS &amp; Exam Planner: ตารางนับถอยหลังวันสอบ + เช็กลิสต์อ่านหนังสือ</t>
  </si>
  <si>
    <t xml:space="preserve">Portfolio Hub: จุดเก็บผลงาน/เกียรติบัตร แยกหมวดหมู่พร้อมใช้</t>
  </si>
  <si>
    <t xml:space="preserve">Smart Capture: ถ่ายรูปสั่งงาน/การบ้าน แล้วแปลงเป็น To-do ให้อัตโนมัติ</t>
  </si>
  <si>
    <t xml:space="preserve">Grade &amp; GPA Planner: ระบบช่วยคำนวณเกรดที่ต้องทำได้ในแต่ละวิชา</t>
  </si>
  <si>
    <t xml:space="preserve">Career Discovery: แบบทดสอบหาคณะ/อาชีพที่เหมาะกับตัวเอง</t>
  </si>
  <si>
    <t xml:space="preserve">Focus Timer &amp; Stats: นาฬิกาจับเวลาอ่านหนังสือ + สรุปสถิติความขยัน</t>
  </si>
  <si>
    <t xml:space="preserve">เรียงจากความต้องการสูงสุด -&gt; ใช้จัดลำดับ priority การพัฒนาฟีเจอร์</t>
  </si>
  <si>
    <t xml:space="preserve">ความสนใจใช้งาน และความยินดีจ่ายเงิน</t>
  </si>
  <si>
    <t xml:space="preserve">จะลองใช้ฟรีไหม</t>
  </si>
  <si>
    <t xml:space="preserve">ใช้แน่นอน (พร้อมโหลดตั้งแต่วันแรก)</t>
  </si>
  <si>
    <t xml:space="preserve">น่าจะลองใช้</t>
  </si>
  <si>
    <t xml:space="preserve">ยังไม่แน่ใจ (ขอรอดูรีวิวก่อน)</t>
  </si>
  <si>
    <t xml:space="preserve">ยินดีจ่ายไหม</t>
  </si>
  <si>
    <t xml:space="preserve">ไม่จ่าย</t>
  </si>
  <si>
    <t xml:space="preserve">จ่าย 50 - 99 บาท/เดือน</t>
  </si>
  <si>
    <t xml:space="preserve">ไม่แน่ใจ</t>
  </si>
  <si>
    <t xml:space="preserve">จ่ายไม่เกิน 49 บาท/เดือน</t>
  </si>
  <si>
    <t xml:space="preserve">มากกว่า 99 บาท/เดือน</t>
  </si>
  <si>
    <t xml:space="preserve">คำตอบปลายเปิด (Free text) - อ่านประกอบเชิงคุณภาพ</t>
  </si>
  <si>
    <t xml:space="preserve">ถ้ามีแอปช่วยได้ "เรื่องเดียว" อยากให้แอปทำอะไรมากที่สุด (คอลัมน์ O)</t>
  </si>
  <si>
    <t xml:space="preserve">จัดการทุกอย่างในชีวิตให้</t>
  </si>
  <si>
    <t xml:space="preserve">เตือนความจำ</t>
  </si>
  <si>
    <t xml:space="preserve">ช่วยบันทึกและแจ้งเตือนงานค้าง</t>
  </si>
  <si>
    <t xml:space="preserve">ช่วยให้ทำงาน</t>
  </si>
  <si>
    <t xml:space="preserve">ช่วยเตือนการส่งงาน</t>
  </si>
  <si>
    <t xml:space="preserve">ทำให้การทำงานง่ายขึ้นสะดวกขึ้น</t>
  </si>
  <si>
    <t xml:space="preserve">จัดการงานในชีวิตได้</t>
  </si>
  <si>
    <t xml:space="preserve">ช่วยสรุปข้อมูลเกี่ยวกับงานและการเรียนของแต่ละวัน</t>
  </si>
  <si>
    <t xml:space="preserve">เฉลยงานได้เเจ้งเตือนงานเป็นคำพูดตามที่เราพิมพ์</t>
  </si>
  <si>
    <t xml:space="preserve">จับเวลาห้า</t>
  </si>
  <si>
    <t xml:space="preserve">แอปในการจัดเวลาการทํางาน</t>
  </si>
  <si>
    <t xml:space="preserve">ชีทรึคลิปสรุปแต่ละเรื่อง ช่วยจำและเตือนการบ้านและเวลาส่ง</t>
  </si>
  <si>
    <t xml:space="preserve">เเจ้งเตือนเวลาส่งงาน</t>
  </si>
  <si>
    <t xml:space="preserve">จัดตารางงานที่ต้องส่งก่อนหลังเเละเรียงลำดับความสำคัญของงานเเต่ละงาน</t>
  </si>
  <si>
    <t xml:space="preserve">ช่วยทำการบ้าน</t>
  </si>
  <si>
    <t xml:space="preserve">ช่วยจัดตารางเวลาว่าในหนึ่งวันเราควรทำอะไรกี่ชั่วโมงและจะได้แบ่ง ๆ แต่ละชั่วโมงไปทำงานอย่างอื่นด้วย</t>
  </si>
  <si>
    <t xml:space="preserve">ทำการบ้านให้</t>
  </si>
  <si>
    <t xml:space="preserve">ช่วยจำการบ้านและกำหนดเวลาใกล้ส่งหรือแนะนำวิธีการทำและสอนทำ</t>
  </si>
  <si>
    <t xml:space="preserve">จดจำงาน เเละรายละเอียดงาน</t>
  </si>
  <si>
    <t xml:space="preserve">ทํางานให้</t>
  </si>
  <si>
    <t xml:space="preserve">ทำให้ฉลาดขึ้นเถอะ</t>
  </si>
  <si>
    <t xml:space="preserve">ช่วยในการแก้ปัญหาต่างๆ คอยตอบคำถามและจัดการเวลา</t>
  </si>
  <si>
    <t xml:space="preserve">เเจ้งเตือนเวลาการส่งงาน เตือนเวลาลืมทำการบ้าน สามารถสรุปงานให้ได้เเบบเป็นระบบ</t>
  </si>
  <si>
    <t xml:space="preserve">ช่วยทำสรุปพร้อมอ่านสอบ</t>
  </si>
  <si>
    <t xml:space="preserve">สรุปงานและการบ้านในแต่ละวันพร้อมแจ้งเตือน</t>
  </si>
  <si>
    <t xml:space="preserve">เรียงความสำคัญของงาน</t>
  </si>
  <si>
    <t xml:space="preserve">ในเรื่องสรุปต่างๆ ตามเนื้อหาที่เราใส่ ที่สามารถใช้ในการสอบ เป็นแนว ถูกต้องและชัดเจนตอบโจทย์ปัญหาของเราได้ ใช้เป็นตัวช่วยในการเรียนได้ทุกอย่างทุกด้าน</t>
  </si>
  <si>
    <t xml:space="preserve">ภาษา</t>
  </si>
  <si>
    <t xml:space="preserve">สรุปงาน</t>
  </si>
  <si>
    <t xml:space="preserve">ไม่ทำการบ้าน</t>
  </si>
  <si>
    <t xml:space="preserve">จัดการตารางการทำงาน เเละส่งงาน เเจ้งเตือนเดดไลน์ก่อนถึง3วันต่อเนื่อง</t>
  </si>
  <si>
    <t xml:space="preserve">สอนแบบที่ในห้องเรียนไม่ได้สอน</t>
  </si>
  <si>
    <t xml:space="preserve">มีแจ้งเตือนการบ้าน สร้าง group ให้เป็นของห้องเรียน และให้คนในห้องช่วยๆกันจดให้ในระบบ และมีแจ้งเตือนการทำการบ้านในแต่ละวัน</t>
  </si>
  <si>
    <t xml:space="preserve">จัดการเวลาการทำงานแต่ละอย่างให้เป็นระบบ</t>
  </si>
  <si>
    <t xml:space="preserve">ช่วยเตือนวิชาที่เราตั้งหรือโน้ตงานไว้</t>
  </si>
  <si>
    <t xml:space="preserve">ช่วยเตือน</t>
  </si>
  <si>
    <t xml:space="preserve">ติวสอบ</t>
  </si>
  <si>
    <t xml:space="preserve">การแจ้งเตือนงานก่อนวันส่ง</t>
  </si>
  <si>
    <t xml:space="preserve">สามารถโน้ตงานที่ต้องทำและเตือนเวลาส่งงานได้มีระบบเช็คงานที่ยังไม่ได้ส่ง</t>
  </si>
  <si>
    <t xml:space="preserve">ช่วยทำให้เราเข้าใจในการเรียนและช่วยแกเนื้อเรียนที่ไม่เข้าใจให้เข้าใจได้ง่ายช่วยแนะนำเรื่องการเรียนและการเข้าเรียนต่อ</t>
  </si>
  <si>
    <t xml:space="preserve">ช่วยทำการบ้านได้หลายๆข้อแบบไม่มีจำกัด</t>
  </si>
  <si>
    <t xml:space="preserve">จำวันที่สั่งงานกับที่ต้องส่งแต่ล่ะวิชา</t>
  </si>
  <si>
    <t xml:space="preserve">จดการบัาน</t>
  </si>
  <si>
    <t xml:space="preserve">จัดตารางอ่านหนังสือ+โน๊ตงาน/การบ้าน +เตือนเมื่อมีงานค้าง</t>
  </si>
  <si>
    <t xml:space="preserve">บันทึกงานค้าง</t>
  </si>
  <si>
    <t xml:space="preserve">ทำงานให้ฉันได้</t>
  </si>
  <si>
    <t xml:space="preserve">จัดการเวลาช่วยเตือนความจำ</t>
  </si>
  <si>
    <t xml:space="preserve">จัดการงาน/การบ้าน</t>
  </si>
  <si>
    <t xml:space="preserve">อยากให้มีเครื่องมือช่วยสร้างความเข้าใจลึกซึ้งสามารถย่อยเนื้อหาที่ยากและซับซ้อน ให้กลายเป็นภาพหรือมโนทัศน์ที่เข้าใจง่ายที่สุดคั้บเหตุผลคือเพราะปัญหาหลักของการเรียนไม่ใช่การขาดแคลนข้อมูลแต่คือการไม่เข้าใจแก่นของเรื่องจนนำไปใช้อื่นต่อไม่ได้คั้บบ</t>
  </si>
  <si>
    <t xml:space="preserve">ทจดสรุปจากการบ้าน</t>
  </si>
  <si>
    <t xml:space="preserve">แจ้งเตือนการบ้าน แจ้งเตือนวันส่ง ช่วยเตือนการบ้านเตือนสอบ</t>
  </si>
  <si>
    <t xml:space="preserve">ทำสรุป</t>
  </si>
  <si>
    <t xml:space="preserve">สรุปงานที่ต้องส่งแต่ละวันโดยมีการแจ้งเตือนทุกเย็น</t>
  </si>
  <si>
    <t xml:space="preserve">บันทึกงาน</t>
  </si>
  <si>
    <t xml:space="preserve">สรุปข้อสอบทั้งหมด</t>
  </si>
  <si>
    <t xml:space="preserve">แอปสรุปความรู้ก่อนสอบ</t>
  </si>
  <si>
    <t xml:space="preserve">ปัญหาการเรียนที่รู้สึกว่ายังไม่มีแอปไหนช่วยได้ดีพอ (คอลัมน์ V)</t>
  </si>
  <si>
    <t xml:space="preserve">Ui กาก</t>
  </si>
  <si>
    <t xml:space="preserve">_</t>
  </si>
  <si>
    <t xml:space="preserve">การไปหาความรู้เองโดยให้เนื้อหาหรือการสอนคล้ายหรือเหมือนครูมากที่สุด</t>
  </si>
  <si>
    <t xml:space="preserve">เรื่องการทำงานให้มีคะแนนเยอะๆ</t>
  </si>
  <si>
    <t xml:space="preserve">no</t>
  </si>
  <si>
    <t xml:space="preserve">เเอปที่ช่วยติววิชาอื่นๆ เเบบฟรีๆ</t>
  </si>
  <si>
    <t xml:space="preserve">ต้องการแอปปที่เราเชื่อถือในการที่ค้นหาข้อมูล</t>
  </si>
  <si>
    <t xml:space="preserve">ชิล</t>
  </si>
  <si>
    <t xml:space="preserve">เรียนเเล้วเบื่อ</t>
  </si>
  <si>
    <t xml:space="preserve">สรุปสูตรและวิธีทำแบบละเอียดในวิชาคำนวณ</t>
  </si>
  <si>
    <t xml:space="preserve">ตามที่พิมพ์ไปในสิ่งที่อยากให้แอปทำอะไรเลย</t>
  </si>
  <si>
    <t xml:space="preserve">ไม่รู้จะทำวิชาไหนก่อนดี</t>
  </si>
  <si>
    <t xml:space="preserve">สรุปเเต่ละเรื่อง</t>
  </si>
  <si>
    <t xml:space="preserve">ยังไม่ค่อยมี</t>
  </si>
  <si>
    <t xml:space="preserve">สรุปข้อมูลที่ต้องการใฟ้ครบถ้วนตามหลักสูตรที่เรียน</t>
  </si>
  <si>
    <t xml:space="preserve">ไม่มีแล้ว</t>
  </si>
  <si>
    <t xml:space="preserve">การสร้างความรู้สึกลึกๆว่าเรียนไปทำไมในแอปส่วนใหญ่เน้นสอนวิธีการแต่มักล้มเหลวในการเชื่อมโยงว่าเนื้อหานั้นเกี่ยวข้องกันยังไงกับเป้าหมายชีวิตหรือบริบทจริงที่ผู้เรียนสนใจทำให้เกิดความรู้สึกเบื่อและขาดแรงจูงใจจากภายในน</t>
  </si>
  <si>
    <t xml:space="preserve">ไม่มีตังเติมพรีเมียมคลอด คลอดบล็อค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</si>
</sst>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442F6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B3F8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442F65"/>
      </patternFill>
    </fill>
    <fill>
      <patternFill patternType="solid">
        <fgColor rgb="FF7A5CA8"/>
        <bgColor rgb="FF666666"/>
      </patternFill>
    </fill>
    <fill>
      <patternFill patternType="solid">
        <fgColor rgb="FF442F65"/>
        <bgColor rgb="FF5B3F8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5CA8"/>
      <rgbColor rgb="FF969696"/>
      <rgbColor rgb="FF003366"/>
      <rgbColor rgb="FF339966"/>
      <rgbColor rgb="FF003300"/>
      <rgbColor rgb="FF333300"/>
      <rgbColor rgb="FF993300"/>
      <rgbColor rgb="FF993366"/>
      <rgbColor rgb="FF5B3F86"/>
      <rgbColor rgb="FF442F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5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n">
        <v>59</v>
      </c>
    </row>
    <row r="5" customFormat="false" ht="30" hidden="false" customHeight="true" outlineLevel="0" collapsed="false">
      <c r="A5" s="2" t="s">
        <v>4</v>
      </c>
      <c r="B5" s="3" t="s">
        <v>5</v>
      </c>
    </row>
    <row r="6" customFormat="false" ht="7.5" hidden="false" customHeight="true" outlineLevel="0" collapsed="false">
      <c r="A6" s="2"/>
      <c r="B6" s="3"/>
    </row>
    <row r="7" customFormat="false" ht="30" hidden="false" customHeight="true" outlineLevel="0" collapsed="false">
      <c r="A7" s="2" t="s">
        <v>6</v>
      </c>
      <c r="B7" s="3" t="s">
        <v>7</v>
      </c>
    </row>
    <row r="8" customFormat="false" ht="30" hidden="false" customHeight="true" outlineLevel="0" collapsed="false">
      <c r="A8" s="2" t="s">
        <v>8</v>
      </c>
      <c r="B8" s="3" t="s">
        <v>9</v>
      </c>
    </row>
    <row r="9" customFormat="false" ht="30" hidden="false" customHeight="true" outlineLevel="0" collapsed="false">
      <c r="A9" s="2" t="s">
        <v>10</v>
      </c>
      <c r="B9" s="3" t="s">
        <v>11</v>
      </c>
    </row>
    <row r="10" customFormat="false" ht="30" hidden="false" customHeight="true" outlineLevel="0" collapsed="false">
      <c r="A10" s="2" t="s">
        <v>12</v>
      </c>
      <c r="B10" s="3" t="s">
        <v>13</v>
      </c>
    </row>
    <row r="11" customFormat="false" ht="30" hidden="false" customHeight="true" outlineLevel="0" collapsed="false">
      <c r="A11" s="2" t="s">
        <v>14</v>
      </c>
      <c r="B11" s="3" t="s">
        <v>15</v>
      </c>
    </row>
    <row r="12" customFormat="false" ht="7.5" hidden="false" customHeight="true" outlineLevel="0" collapsed="false">
      <c r="A12" s="2"/>
      <c r="B12" s="3"/>
    </row>
    <row r="13" customFormat="false" ht="30" hidden="false" customHeight="true" outlineLevel="0" collapsed="false">
      <c r="A13" s="2" t="s">
        <v>16</v>
      </c>
      <c r="B13" s="3" t="s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18</v>
      </c>
      <c r="B1" s="1"/>
      <c r="C1" s="1"/>
      <c r="D1" s="1"/>
    </row>
    <row r="3" customFormat="false" ht="19.5" hidden="false" customHeight="true" outlineLevel="0" collapsed="false">
      <c r="A3" s="4" t="s">
        <v>19</v>
      </c>
      <c r="B3" s="4"/>
      <c r="C3" s="4"/>
      <c r="D3" s="4"/>
    </row>
    <row r="4" customFormat="false" ht="15" hidden="false" customHeight="false" outlineLevel="0" collapsed="false">
      <c r="A4" s="5" t="s">
        <v>20</v>
      </c>
      <c r="B4" s="6" t="n">
        <v>59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s">
        <v>23</v>
      </c>
      <c r="D5" s="8" t="s">
        <v>24</v>
      </c>
    </row>
    <row r="6" customFormat="false" ht="15" hidden="false" customHeight="false" outlineLevel="0" collapsed="false">
      <c r="A6" s="9" t="s">
        <v>25</v>
      </c>
      <c r="B6" s="10" t="n">
        <v>28</v>
      </c>
      <c r="C6" s="11" t="n">
        <f aca="false">B6/$B$4</f>
        <v>0.474576271186441</v>
      </c>
      <c r="D6" s="12" t="s">
        <v>26</v>
      </c>
    </row>
    <row r="7" customFormat="false" ht="15" hidden="false" customHeight="false" outlineLevel="0" collapsed="false">
      <c r="A7" s="9" t="s">
        <v>27</v>
      </c>
      <c r="B7" s="10" t="n">
        <v>19</v>
      </c>
      <c r="C7" s="11" t="n">
        <f aca="false">B7/$B$4</f>
        <v>0.322033898305085</v>
      </c>
      <c r="D7" s="12" t="s">
        <v>28</v>
      </c>
    </row>
    <row r="8" customFormat="false" ht="15" hidden="false" customHeight="false" outlineLevel="0" collapsed="false">
      <c r="A8" s="9" t="s">
        <v>29</v>
      </c>
      <c r="B8" s="10" t="n">
        <v>7</v>
      </c>
      <c r="C8" s="11" t="n">
        <f aca="false">B8/$B$4</f>
        <v>0.11864406779661</v>
      </c>
      <c r="D8" s="12" t="s">
        <v>30</v>
      </c>
    </row>
    <row r="9" customFormat="false" ht="15" hidden="false" customHeight="false" outlineLevel="0" collapsed="false">
      <c r="A9" s="9" t="s">
        <v>31</v>
      </c>
      <c r="B9" s="10" t="n">
        <v>4</v>
      </c>
      <c r="C9" s="11" t="n">
        <f aca="false">B9/$B$4</f>
        <v>0.0677966101694915</v>
      </c>
      <c r="D9" s="12" t="s">
        <v>32</v>
      </c>
    </row>
    <row r="10" customFormat="false" ht="15" hidden="false" customHeight="false" outlineLevel="0" collapsed="false">
      <c r="A10" s="9" t="s">
        <v>33</v>
      </c>
      <c r="B10" s="10" t="n">
        <v>1</v>
      </c>
      <c r="C10" s="11" t="n">
        <f aca="false">B10/$B$4</f>
        <v>0.0169491525423729</v>
      </c>
      <c r="D10" s="12"/>
    </row>
    <row r="12" customFormat="false" ht="19.5" hidden="false" customHeight="true" outlineLevel="0" collapsed="false">
      <c r="A12" s="4" t="s">
        <v>34</v>
      </c>
      <c r="B12" s="4"/>
      <c r="C12" s="4"/>
      <c r="D12" s="4"/>
    </row>
    <row r="13" customFormat="false" ht="15" hidden="false" customHeight="false" outlineLevel="0" collapsed="false">
      <c r="A13" s="5" t="s">
        <v>20</v>
      </c>
      <c r="B13" s="6" t="n">
        <v>59</v>
      </c>
    </row>
    <row r="14" customFormat="false" ht="15" hidden="false" customHeight="false" outlineLevel="0" collapsed="false">
      <c r="A14" s="7" t="s">
        <v>21</v>
      </c>
      <c r="B14" s="8" t="s">
        <v>22</v>
      </c>
      <c r="C14" s="8" t="s">
        <v>23</v>
      </c>
      <c r="D14" s="8" t="s">
        <v>24</v>
      </c>
    </row>
    <row r="15" customFormat="false" ht="15" hidden="false" customHeight="false" outlineLevel="0" collapsed="false">
      <c r="A15" s="9" t="s">
        <v>35</v>
      </c>
      <c r="B15" s="10" t="n">
        <v>45</v>
      </c>
      <c r="C15" s="11" t="n">
        <f aca="false">B15/$B$13</f>
        <v>0.76271186440678</v>
      </c>
      <c r="D15" s="12" t="s">
        <v>36</v>
      </c>
    </row>
    <row r="16" customFormat="false" ht="15" hidden="false" customHeight="false" outlineLevel="0" collapsed="false">
      <c r="A16" s="9" t="s">
        <v>37</v>
      </c>
      <c r="B16" s="10" t="n">
        <v>8</v>
      </c>
      <c r="C16" s="11" t="n">
        <f aca="false">B16/$B$13</f>
        <v>0.135593220338983</v>
      </c>
      <c r="D16" s="12" t="s">
        <v>38</v>
      </c>
    </row>
    <row r="17" customFormat="false" ht="15" hidden="false" customHeight="false" outlineLevel="0" collapsed="false">
      <c r="A17" s="9" t="s">
        <v>39</v>
      </c>
      <c r="B17" s="10" t="n">
        <v>4</v>
      </c>
      <c r="C17" s="11" t="n">
        <f aca="false">B17/$B$13</f>
        <v>0.0677966101694915</v>
      </c>
      <c r="D17" s="12" t="s">
        <v>32</v>
      </c>
    </row>
    <row r="18" customFormat="false" ht="15" hidden="false" customHeight="false" outlineLevel="0" collapsed="false">
      <c r="A18" s="9" t="s">
        <v>40</v>
      </c>
      <c r="B18" s="10" t="n">
        <v>1</v>
      </c>
      <c r="C18" s="11" t="n">
        <f aca="false">B18/$B$13</f>
        <v>0.0169491525423729</v>
      </c>
      <c r="D18" s="12"/>
    </row>
    <row r="19" customFormat="false" ht="15" hidden="false" customHeight="false" outlineLevel="0" collapsed="false">
      <c r="A19" s="9" t="s">
        <v>41</v>
      </c>
      <c r="B19" s="10" t="n">
        <v>1</v>
      </c>
      <c r="C19" s="11" t="n">
        <f aca="false">B19/$B$13</f>
        <v>0.0169491525423729</v>
      </c>
      <c r="D19" s="12"/>
    </row>
    <row r="21" customFormat="false" ht="19.5" hidden="false" customHeight="true" outlineLevel="0" collapsed="false">
      <c r="A21" s="4" t="s">
        <v>42</v>
      </c>
      <c r="B21" s="4"/>
      <c r="C21" s="4"/>
      <c r="D21" s="4"/>
    </row>
    <row r="22" customFormat="false" ht="15" hidden="false" customHeight="false" outlineLevel="0" collapsed="false">
      <c r="A22" s="5" t="s">
        <v>20</v>
      </c>
      <c r="B22" s="6" t="n">
        <v>59</v>
      </c>
    </row>
    <row r="23" customFormat="false" ht="15" hidden="false" customHeight="false" outlineLevel="0" collapsed="false">
      <c r="A23" s="7" t="s">
        <v>21</v>
      </c>
      <c r="B23" s="8" t="s">
        <v>22</v>
      </c>
      <c r="C23" s="8" t="s">
        <v>23</v>
      </c>
      <c r="D23" s="8" t="s">
        <v>24</v>
      </c>
    </row>
    <row r="24" customFormat="false" ht="15" hidden="false" customHeight="false" outlineLevel="0" collapsed="false">
      <c r="A24" s="9" t="s">
        <v>43</v>
      </c>
      <c r="B24" s="10" t="n">
        <v>40</v>
      </c>
      <c r="C24" s="11" t="n">
        <f aca="false">B24/$B$22</f>
        <v>0.677966101694915</v>
      </c>
      <c r="D24" s="12" t="s">
        <v>44</v>
      </c>
    </row>
    <row r="25" customFormat="false" ht="15" hidden="false" customHeight="false" outlineLevel="0" collapsed="false">
      <c r="A25" s="9" t="s">
        <v>45</v>
      </c>
      <c r="B25" s="10" t="n">
        <v>4</v>
      </c>
      <c r="C25" s="11" t="n">
        <f aca="false">B25/$B$22</f>
        <v>0.0677966101694915</v>
      </c>
      <c r="D25" s="12" t="s">
        <v>32</v>
      </c>
    </row>
    <row r="26" customFormat="false" ht="15" hidden="false" customHeight="false" outlineLevel="0" collapsed="false">
      <c r="A26" s="9" t="s">
        <v>46</v>
      </c>
      <c r="B26" s="10" t="n">
        <v>2</v>
      </c>
      <c r="C26" s="11" t="n">
        <f aca="false">B26/$B$22</f>
        <v>0.0338983050847458</v>
      </c>
      <c r="D26" s="12" t="s">
        <v>32</v>
      </c>
    </row>
    <row r="27" customFormat="false" ht="15" hidden="false" customHeight="false" outlineLevel="0" collapsed="false">
      <c r="A27" s="9" t="s">
        <v>47</v>
      </c>
      <c r="B27" s="10" t="n">
        <v>1</v>
      </c>
      <c r="C27" s="11" t="n">
        <f aca="false">B27/$B$22</f>
        <v>0.0169491525423729</v>
      </c>
      <c r="D27" s="12"/>
    </row>
    <row r="28" customFormat="false" ht="15" hidden="false" customHeight="false" outlineLevel="0" collapsed="false">
      <c r="A28" s="9" t="s">
        <v>48</v>
      </c>
      <c r="B28" s="10" t="n">
        <v>1</v>
      </c>
      <c r="C28" s="11" t="n">
        <f aca="false">B28/$B$22</f>
        <v>0.0169491525423729</v>
      </c>
      <c r="D28" s="12"/>
    </row>
    <row r="29" customFormat="false" ht="15" hidden="false" customHeight="false" outlineLevel="0" collapsed="false">
      <c r="A29" s="9" t="s">
        <v>49</v>
      </c>
      <c r="B29" s="10" t="n">
        <v>1</v>
      </c>
      <c r="C29" s="11" t="n">
        <f aca="false">B29/$B$22</f>
        <v>0.0169491525423729</v>
      </c>
      <c r="D29" s="12"/>
    </row>
    <row r="30" customFormat="false" ht="15" hidden="false" customHeight="false" outlineLevel="0" collapsed="false">
      <c r="A30" s="9" t="s">
        <v>50</v>
      </c>
      <c r="B30" s="10" t="n">
        <v>1</v>
      </c>
      <c r="C30" s="11" t="n">
        <f aca="false">B30/$B$22</f>
        <v>0.0169491525423729</v>
      </c>
      <c r="D30" s="12"/>
    </row>
    <row r="31" customFormat="false" ht="15" hidden="false" customHeight="false" outlineLevel="0" collapsed="false">
      <c r="A31" s="9" t="s">
        <v>51</v>
      </c>
      <c r="B31" s="10" t="n">
        <v>1</v>
      </c>
      <c r="C31" s="11" t="n">
        <f aca="false">B31/$B$22</f>
        <v>0.0169491525423729</v>
      </c>
      <c r="D31" s="12"/>
    </row>
    <row r="32" customFormat="false" ht="15" hidden="false" customHeight="false" outlineLevel="0" collapsed="false">
      <c r="A32" s="9" t="s">
        <v>52</v>
      </c>
      <c r="B32" s="10" t="n">
        <v>1</v>
      </c>
      <c r="C32" s="11" t="n">
        <f aca="false">B32/$B$22</f>
        <v>0.0169491525423729</v>
      </c>
      <c r="D32" s="12"/>
    </row>
    <row r="33" customFormat="false" ht="15" hidden="false" customHeight="false" outlineLevel="0" collapsed="false">
      <c r="A33" s="9" t="s">
        <v>53</v>
      </c>
      <c r="B33" s="10" t="n">
        <v>1</v>
      </c>
      <c r="C33" s="11" t="n">
        <f aca="false">B33/$B$22</f>
        <v>0.0169491525423729</v>
      </c>
      <c r="D33" s="12"/>
    </row>
    <row r="34" customFormat="false" ht="15" hidden="false" customHeight="false" outlineLevel="0" collapsed="false">
      <c r="A34" s="9" t="s">
        <v>54</v>
      </c>
      <c r="B34" s="10" t="n">
        <v>1</v>
      </c>
      <c r="C34" s="11" t="n">
        <f aca="false">B34/$B$22</f>
        <v>0.0169491525423729</v>
      </c>
      <c r="D34" s="12"/>
    </row>
    <row r="35" customFormat="false" ht="15" hidden="false" customHeight="false" outlineLevel="0" collapsed="false">
      <c r="A35" s="9" t="s">
        <v>55</v>
      </c>
      <c r="B35" s="10" t="n">
        <v>1</v>
      </c>
      <c r="C35" s="11" t="n">
        <f aca="false">B35/$B$22</f>
        <v>0.0169491525423729</v>
      </c>
      <c r="D35" s="12"/>
    </row>
    <row r="36" customFormat="false" ht="15" hidden="false" customHeight="false" outlineLevel="0" collapsed="false">
      <c r="A36" s="9" t="s">
        <v>56</v>
      </c>
      <c r="B36" s="10" t="n">
        <v>1</v>
      </c>
      <c r="C36" s="11" t="n">
        <f aca="false">B36/$B$22</f>
        <v>0.0169491525423729</v>
      </c>
      <c r="D36" s="12"/>
    </row>
    <row r="37" customFormat="false" ht="15" hidden="false" customHeight="false" outlineLevel="0" collapsed="false">
      <c r="A37" s="9" t="s">
        <v>57</v>
      </c>
      <c r="B37" s="10" t="n">
        <v>1</v>
      </c>
      <c r="C37" s="11" t="n">
        <f aca="false">B37/$B$22</f>
        <v>0.0169491525423729</v>
      </c>
      <c r="D37" s="12"/>
    </row>
    <row r="38" customFormat="false" ht="15" hidden="false" customHeight="false" outlineLevel="0" collapsed="false">
      <c r="A38" s="9" t="s">
        <v>58</v>
      </c>
      <c r="B38" s="10" t="n">
        <v>1</v>
      </c>
      <c r="C38" s="11" t="n">
        <f aca="false">B38/$B$22</f>
        <v>0.0169491525423729</v>
      </c>
      <c r="D38" s="12"/>
    </row>
    <row r="39" customFormat="false" ht="15" hidden="false" customHeight="false" outlineLevel="0" collapsed="false">
      <c r="A39" s="9" t="s">
        <v>59</v>
      </c>
      <c r="B39" s="10" t="n">
        <v>1</v>
      </c>
      <c r="C39" s="11" t="n">
        <f aca="false">B39/$B$22</f>
        <v>0.0169491525423729</v>
      </c>
      <c r="D39" s="12"/>
    </row>
    <row r="40" customFormat="false" ht="15" hidden="false" customHeight="false" outlineLevel="0" collapsed="false">
      <c r="A40" s="5" t="s">
        <v>60</v>
      </c>
    </row>
  </sheetData>
  <mergeCells count="4">
    <mergeCell ref="A1:D1"/>
    <mergeCell ref="A3:D3"/>
    <mergeCell ref="A12:D1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61</v>
      </c>
      <c r="B1" s="1"/>
      <c r="C1" s="1"/>
      <c r="D1" s="1"/>
    </row>
    <row r="3" customFormat="false" ht="19.5" hidden="false" customHeight="true" outlineLevel="0" collapsed="false">
      <c r="A3" s="4" t="s">
        <v>62</v>
      </c>
      <c r="B3" s="4"/>
      <c r="C3" s="4"/>
      <c r="D3" s="4"/>
    </row>
    <row r="4" customFormat="false" ht="15" hidden="false" customHeight="false" outlineLevel="0" collapsed="false">
      <c r="A4" s="5" t="s">
        <v>20</v>
      </c>
      <c r="B4" s="6" t="n">
        <v>59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s">
        <v>23</v>
      </c>
      <c r="D5" s="8" t="s">
        <v>24</v>
      </c>
    </row>
    <row r="6" customFormat="false" ht="15" hidden="false" customHeight="false" outlineLevel="0" collapsed="false">
      <c r="A6" s="9" t="s">
        <v>63</v>
      </c>
      <c r="B6" s="10" t="n">
        <v>27</v>
      </c>
      <c r="C6" s="11" t="n">
        <f aca="false">B6/$B$4</f>
        <v>0.457627118644068</v>
      </c>
      <c r="D6" s="12" t="s">
        <v>26</v>
      </c>
    </row>
    <row r="7" customFormat="false" ht="15" hidden="false" customHeight="false" outlineLevel="0" collapsed="false">
      <c r="A7" s="9" t="s">
        <v>64</v>
      </c>
      <c r="B7" s="10" t="n">
        <v>20</v>
      </c>
      <c r="C7" s="11" t="n">
        <f aca="false">B7/$B$4</f>
        <v>0.338983050847458</v>
      </c>
      <c r="D7" s="12" t="s">
        <v>65</v>
      </c>
    </row>
    <row r="8" customFormat="false" ht="15" hidden="false" customHeight="false" outlineLevel="0" collapsed="false">
      <c r="A8" s="9" t="s">
        <v>66</v>
      </c>
      <c r="B8" s="10" t="n">
        <v>9</v>
      </c>
      <c r="C8" s="11" t="n">
        <f aca="false">B8/$B$4</f>
        <v>0.152542372881356</v>
      </c>
      <c r="D8" s="12" t="s">
        <v>38</v>
      </c>
    </row>
    <row r="9" customFormat="false" ht="15" hidden="false" customHeight="false" outlineLevel="0" collapsed="false">
      <c r="A9" s="9" t="s">
        <v>67</v>
      </c>
      <c r="B9" s="10" t="n">
        <v>3</v>
      </c>
      <c r="C9" s="11" t="n">
        <f aca="false">B9/$B$4</f>
        <v>0.0508474576271187</v>
      </c>
      <c r="D9" s="12" t="s">
        <v>32</v>
      </c>
    </row>
    <row r="11" customFormat="false" ht="19.5" hidden="false" customHeight="true" outlineLevel="0" collapsed="false">
      <c r="A11" s="4" t="s">
        <v>68</v>
      </c>
      <c r="B11" s="4"/>
      <c r="C11" s="4"/>
      <c r="D11" s="4"/>
    </row>
    <row r="12" customFormat="false" ht="15" hidden="false" customHeight="false" outlineLevel="0" collapsed="false">
      <c r="A12" s="5" t="s">
        <v>20</v>
      </c>
      <c r="B12" s="6" t="n">
        <v>59</v>
      </c>
    </row>
    <row r="13" customFormat="false" ht="15" hidden="false" customHeight="false" outlineLevel="0" collapsed="false">
      <c r="A13" s="7" t="s">
        <v>21</v>
      </c>
      <c r="B13" s="8" t="s">
        <v>22</v>
      </c>
      <c r="C13" s="8" t="s">
        <v>23</v>
      </c>
      <c r="D13" s="8" t="s">
        <v>24</v>
      </c>
    </row>
    <row r="14" customFormat="false" ht="15" hidden="false" customHeight="false" outlineLevel="0" collapsed="false">
      <c r="A14" s="9" t="s">
        <v>69</v>
      </c>
      <c r="B14" s="10" t="n">
        <v>25</v>
      </c>
      <c r="C14" s="11" t="n">
        <f aca="false">B14/$B$12</f>
        <v>0.423728813559322</v>
      </c>
      <c r="D14" s="12" t="s">
        <v>70</v>
      </c>
    </row>
    <row r="15" customFormat="false" ht="15" hidden="false" customHeight="false" outlineLevel="0" collapsed="false">
      <c r="A15" s="9" t="s">
        <v>71</v>
      </c>
      <c r="B15" s="10" t="n">
        <v>18</v>
      </c>
      <c r="C15" s="11" t="n">
        <f aca="false">B15/$B$12</f>
        <v>0.305084745762712</v>
      </c>
      <c r="D15" s="12" t="s">
        <v>28</v>
      </c>
    </row>
    <row r="16" customFormat="false" ht="15" hidden="false" customHeight="false" outlineLevel="0" collapsed="false">
      <c r="A16" s="9" t="s">
        <v>72</v>
      </c>
      <c r="B16" s="10" t="n">
        <v>8</v>
      </c>
      <c r="C16" s="11" t="n">
        <f aca="false">B16/$B$12</f>
        <v>0.135593220338983</v>
      </c>
      <c r="D16" s="12" t="s">
        <v>38</v>
      </c>
    </row>
    <row r="17" customFormat="false" ht="15" hidden="false" customHeight="false" outlineLevel="0" collapsed="false">
      <c r="A17" s="9" t="s">
        <v>73</v>
      </c>
      <c r="B17" s="10" t="n">
        <v>8</v>
      </c>
      <c r="C17" s="11" t="n">
        <f aca="false">B17/$B$12</f>
        <v>0.135593220338983</v>
      </c>
      <c r="D17" s="12" t="s">
        <v>38</v>
      </c>
    </row>
    <row r="19" customFormat="false" ht="19.5" hidden="false" customHeight="true" outlineLevel="0" collapsed="false">
      <c r="A19" s="4" t="s">
        <v>74</v>
      </c>
      <c r="B19" s="4"/>
      <c r="C19" s="4"/>
      <c r="D19" s="4"/>
    </row>
    <row r="20" customFormat="false" ht="15" hidden="false" customHeight="false" outlineLevel="0" collapsed="false">
      <c r="A20" s="5" t="s">
        <v>20</v>
      </c>
      <c r="B20" s="6" t="n">
        <v>59</v>
      </c>
    </row>
    <row r="21" customFormat="false" ht="15" hidden="false" customHeight="false" outlineLevel="0" collapsed="false">
      <c r="A21" s="7" t="s">
        <v>21</v>
      </c>
      <c r="B21" s="8" t="s">
        <v>22</v>
      </c>
      <c r="C21" s="8" t="s">
        <v>23</v>
      </c>
      <c r="D21" s="8" t="s">
        <v>24</v>
      </c>
    </row>
    <row r="22" customFormat="false" ht="15" hidden="false" customHeight="false" outlineLevel="0" collapsed="false">
      <c r="A22" s="9" t="s">
        <v>75</v>
      </c>
      <c r="B22" s="10" t="n">
        <v>34</v>
      </c>
      <c r="C22" s="11" t="n">
        <f aca="false">B22/$B$20</f>
        <v>0.576271186440678</v>
      </c>
      <c r="D22" s="12" t="s">
        <v>76</v>
      </c>
    </row>
    <row r="23" customFormat="false" ht="15" hidden="false" customHeight="false" outlineLevel="0" collapsed="false">
      <c r="A23" s="9" t="s">
        <v>77</v>
      </c>
      <c r="B23" s="10" t="n">
        <v>15</v>
      </c>
      <c r="C23" s="11" t="n">
        <f aca="false">B23/$B$20</f>
        <v>0.254237288135593</v>
      </c>
      <c r="D23" s="12" t="s">
        <v>78</v>
      </c>
    </row>
    <row r="24" customFormat="false" ht="15" hidden="false" customHeight="false" outlineLevel="0" collapsed="false">
      <c r="A24" s="9" t="s">
        <v>79</v>
      </c>
      <c r="B24" s="10" t="n">
        <v>6</v>
      </c>
      <c r="C24" s="11" t="n">
        <f aca="false">B24/$B$20</f>
        <v>0.101694915254237</v>
      </c>
      <c r="D24" s="12" t="s">
        <v>30</v>
      </c>
    </row>
    <row r="25" customFormat="false" ht="15" hidden="false" customHeight="false" outlineLevel="0" collapsed="false">
      <c r="A25" s="9" t="s">
        <v>80</v>
      </c>
      <c r="B25" s="10" t="n">
        <v>4</v>
      </c>
      <c r="C25" s="11" t="n">
        <f aca="false">B25/$B$20</f>
        <v>0.0677966101694915</v>
      </c>
      <c r="D25" s="12" t="s">
        <v>32</v>
      </c>
    </row>
    <row r="27" customFormat="false" ht="19.5" hidden="false" customHeight="true" outlineLevel="0" collapsed="false">
      <c r="A27" s="4" t="s">
        <v>81</v>
      </c>
      <c r="B27" s="4"/>
      <c r="C27" s="4"/>
      <c r="D27" s="4"/>
    </row>
    <row r="28" customFormat="false" ht="15" hidden="false" customHeight="false" outlineLevel="0" collapsed="false">
      <c r="A28" s="5" t="s">
        <v>82</v>
      </c>
      <c r="B28" s="6" t="n">
        <v>59</v>
      </c>
    </row>
    <row r="29" customFormat="false" ht="15" hidden="false" customHeight="false" outlineLevel="0" collapsed="false">
      <c r="A29" s="7" t="s">
        <v>21</v>
      </c>
      <c r="B29" s="8" t="s">
        <v>22</v>
      </c>
      <c r="C29" s="8" t="s">
        <v>23</v>
      </c>
      <c r="D29" s="8" t="s">
        <v>24</v>
      </c>
    </row>
    <row r="30" customFormat="false" ht="15" hidden="false" customHeight="false" outlineLevel="0" collapsed="false">
      <c r="A30" s="9" t="s">
        <v>83</v>
      </c>
      <c r="B30" s="10" t="n">
        <v>42</v>
      </c>
      <c r="C30" s="11" t="n">
        <f aca="false">B30/$B$28</f>
        <v>0.711864406779661</v>
      </c>
      <c r="D30" s="12" t="s">
        <v>44</v>
      </c>
    </row>
    <row r="31" customFormat="false" ht="15" hidden="false" customHeight="false" outlineLevel="0" collapsed="false">
      <c r="A31" s="9" t="s">
        <v>84</v>
      </c>
      <c r="B31" s="10" t="n">
        <v>33</v>
      </c>
      <c r="C31" s="11" t="n">
        <f aca="false">B31/$B$28</f>
        <v>0.559322033898305</v>
      </c>
      <c r="D31" s="12" t="s">
        <v>85</v>
      </c>
    </row>
    <row r="32" customFormat="false" ht="15" hidden="false" customHeight="false" outlineLevel="0" collapsed="false">
      <c r="A32" s="9" t="s">
        <v>86</v>
      </c>
      <c r="B32" s="10" t="n">
        <v>28</v>
      </c>
      <c r="C32" s="11" t="n">
        <f aca="false">B32/$B$28</f>
        <v>0.474576271186441</v>
      </c>
      <c r="D32" s="12" t="s">
        <v>26</v>
      </c>
    </row>
    <row r="33" customFormat="false" ht="15" hidden="false" customHeight="false" outlineLevel="0" collapsed="false">
      <c r="A33" s="9" t="s">
        <v>87</v>
      </c>
      <c r="B33" s="10" t="n">
        <v>26</v>
      </c>
      <c r="C33" s="11" t="n">
        <f aca="false">B33/$B$28</f>
        <v>0.440677966101695</v>
      </c>
      <c r="D33" s="12" t="s">
        <v>26</v>
      </c>
    </row>
    <row r="34" customFormat="false" ht="15" hidden="false" customHeight="false" outlineLevel="0" collapsed="false">
      <c r="A34" s="9" t="s">
        <v>88</v>
      </c>
      <c r="B34" s="10" t="n">
        <v>16</v>
      </c>
      <c r="C34" s="11" t="n">
        <f aca="false">B34/$B$28</f>
        <v>0.271186440677966</v>
      </c>
      <c r="D34" s="12" t="s">
        <v>78</v>
      </c>
    </row>
    <row r="35" customFormat="false" ht="15" hidden="false" customHeight="false" outlineLevel="0" collapsed="false">
      <c r="A35" s="9" t="s">
        <v>89</v>
      </c>
      <c r="B35" s="10" t="n">
        <v>13</v>
      </c>
      <c r="C35" s="11" t="n">
        <f aca="false">B35/$B$28</f>
        <v>0.220338983050847</v>
      </c>
      <c r="D35" s="12" t="s">
        <v>90</v>
      </c>
    </row>
    <row r="36" customFormat="false" ht="15" hidden="false" customHeight="false" outlineLevel="0" collapsed="false">
      <c r="A36" s="9" t="s">
        <v>91</v>
      </c>
      <c r="B36" s="10" t="n">
        <v>1</v>
      </c>
      <c r="C36" s="11" t="n">
        <f aca="false">B36/$B$28</f>
        <v>0.0169491525423729</v>
      </c>
      <c r="D36" s="12"/>
    </row>
    <row r="38" customFormat="false" ht="19.5" hidden="false" customHeight="true" outlineLevel="0" collapsed="false">
      <c r="A38" s="4" t="s">
        <v>92</v>
      </c>
      <c r="B38" s="4"/>
      <c r="C38" s="4"/>
      <c r="D38" s="4"/>
    </row>
    <row r="39" customFormat="false" ht="15" hidden="false" customHeight="false" outlineLevel="0" collapsed="false">
      <c r="A39" s="5" t="s">
        <v>82</v>
      </c>
      <c r="B39" s="6" t="n">
        <v>59</v>
      </c>
    </row>
    <row r="40" customFormat="false" ht="15" hidden="false" customHeight="false" outlineLevel="0" collapsed="false">
      <c r="A40" s="7" t="s">
        <v>21</v>
      </c>
      <c r="B40" s="8" t="s">
        <v>22</v>
      </c>
      <c r="C40" s="8" t="s">
        <v>23</v>
      </c>
      <c r="D40" s="8" t="s">
        <v>24</v>
      </c>
    </row>
    <row r="41" customFormat="false" ht="15" hidden="false" customHeight="false" outlineLevel="0" collapsed="false">
      <c r="A41" s="9" t="s">
        <v>93</v>
      </c>
      <c r="B41" s="10" t="n">
        <v>34</v>
      </c>
      <c r="C41" s="11" t="n">
        <f aca="false">B41/$B$39</f>
        <v>0.576271186440678</v>
      </c>
      <c r="D41" s="12" t="s">
        <v>76</v>
      </c>
    </row>
    <row r="42" customFormat="false" ht="15" hidden="false" customHeight="false" outlineLevel="0" collapsed="false">
      <c r="A42" s="9" t="s">
        <v>94</v>
      </c>
      <c r="B42" s="10" t="n">
        <v>25</v>
      </c>
      <c r="C42" s="11" t="n">
        <f aca="false">B42/$B$39</f>
        <v>0.423728813559322</v>
      </c>
      <c r="D42" s="12" t="s">
        <v>70</v>
      </c>
    </row>
    <row r="43" customFormat="false" ht="15" hidden="false" customHeight="false" outlineLevel="0" collapsed="false">
      <c r="A43" s="9" t="s">
        <v>95</v>
      </c>
      <c r="B43" s="10" t="n">
        <v>20</v>
      </c>
      <c r="C43" s="11" t="n">
        <f aca="false">B43/$B$39</f>
        <v>0.338983050847458</v>
      </c>
      <c r="D43" s="12" t="s">
        <v>65</v>
      </c>
    </row>
    <row r="44" customFormat="false" ht="15" hidden="false" customHeight="false" outlineLevel="0" collapsed="false">
      <c r="A44" s="9" t="s">
        <v>96</v>
      </c>
      <c r="B44" s="10" t="n">
        <v>15</v>
      </c>
      <c r="C44" s="11" t="n">
        <f aca="false">B44/$B$39</f>
        <v>0.254237288135593</v>
      </c>
      <c r="D44" s="12" t="s">
        <v>78</v>
      </c>
    </row>
    <row r="45" customFormat="false" ht="15" hidden="false" customHeight="false" outlineLevel="0" collapsed="false">
      <c r="A45" s="9" t="s">
        <v>97</v>
      </c>
      <c r="B45" s="10" t="n">
        <v>6</v>
      </c>
      <c r="C45" s="11" t="n">
        <f aca="false">B45/$B$39</f>
        <v>0.101694915254237</v>
      </c>
      <c r="D45" s="12" t="s">
        <v>30</v>
      </c>
    </row>
    <row r="46" customFormat="false" ht="15" hidden="false" customHeight="false" outlineLevel="0" collapsed="false">
      <c r="A46" s="9" t="s">
        <v>98</v>
      </c>
      <c r="B46" s="10" t="n">
        <v>1</v>
      </c>
      <c r="C46" s="11" t="n">
        <f aca="false">B46/$B$39</f>
        <v>0.0169491525423729</v>
      </c>
      <c r="D46" s="12"/>
    </row>
    <row r="47" customFormat="false" ht="15" hidden="false" customHeight="false" outlineLevel="0" collapsed="false">
      <c r="A47" s="9" t="s">
        <v>99</v>
      </c>
      <c r="B47" s="10" t="n">
        <v>1</v>
      </c>
      <c r="C47" s="11" t="n">
        <f aca="false">B47/$B$39</f>
        <v>0.0169491525423729</v>
      </c>
      <c r="D47" s="12"/>
    </row>
    <row r="48" customFormat="false" ht="15" hidden="false" customHeight="false" outlineLevel="0" collapsed="false">
      <c r="A48" s="9" t="s">
        <v>100</v>
      </c>
      <c r="B48" s="10" t="n">
        <v>1</v>
      </c>
      <c r="C48" s="11" t="n">
        <f aca="false">B48/$B$39</f>
        <v>0.0169491525423729</v>
      </c>
      <c r="D48" s="12"/>
    </row>
    <row r="49" customFormat="false" ht="15" hidden="false" customHeight="false" outlineLevel="0" collapsed="false">
      <c r="A49" s="9" t="s">
        <v>101</v>
      </c>
      <c r="B49" s="10" t="n">
        <v>1</v>
      </c>
      <c r="C49" s="11" t="n">
        <f aca="false">B49/$B$39</f>
        <v>0.0169491525423729</v>
      </c>
      <c r="D49" s="12"/>
    </row>
    <row r="50" customFormat="false" ht="15" hidden="false" customHeight="false" outlineLevel="0" collapsed="false">
      <c r="A50" s="9" t="s">
        <v>102</v>
      </c>
      <c r="B50" s="10" t="n">
        <v>1</v>
      </c>
      <c r="C50" s="11" t="n">
        <f aca="false">B50/$B$39</f>
        <v>0.0169491525423729</v>
      </c>
      <c r="D50" s="12"/>
    </row>
    <row r="52" customFormat="false" ht="19.5" hidden="false" customHeight="true" outlineLevel="0" collapsed="false">
      <c r="A52" s="4" t="s">
        <v>103</v>
      </c>
      <c r="B52" s="4"/>
      <c r="C52" s="4"/>
      <c r="D52" s="4"/>
    </row>
    <row r="53" customFormat="false" ht="15" hidden="false" customHeight="false" outlineLevel="0" collapsed="false">
      <c r="A53" s="5" t="s">
        <v>20</v>
      </c>
      <c r="B53" s="6" t="n">
        <v>59</v>
      </c>
    </row>
    <row r="54" customFormat="false" ht="15" hidden="false" customHeight="false" outlineLevel="0" collapsed="false">
      <c r="A54" s="7" t="s">
        <v>21</v>
      </c>
      <c r="B54" s="8" t="s">
        <v>22</v>
      </c>
      <c r="C54" s="8" t="s">
        <v>23</v>
      </c>
      <c r="D54" s="8" t="s">
        <v>24</v>
      </c>
    </row>
    <row r="55" customFormat="false" ht="15" hidden="false" customHeight="false" outlineLevel="0" collapsed="false">
      <c r="A55" s="9" t="s">
        <v>104</v>
      </c>
      <c r="B55" s="10" t="n">
        <v>19</v>
      </c>
      <c r="C55" s="11" t="n">
        <f aca="false">B55/$B$53</f>
        <v>0.322033898305085</v>
      </c>
      <c r="D55" s="12" t="s">
        <v>28</v>
      </c>
    </row>
    <row r="56" customFormat="false" ht="15" hidden="false" customHeight="false" outlineLevel="0" collapsed="false">
      <c r="A56" s="9" t="s">
        <v>105</v>
      </c>
      <c r="B56" s="10" t="n">
        <v>15</v>
      </c>
      <c r="C56" s="11" t="n">
        <f aca="false">B56/$B$53</f>
        <v>0.254237288135593</v>
      </c>
      <c r="D56" s="12" t="s">
        <v>78</v>
      </c>
    </row>
    <row r="57" customFormat="false" ht="15" hidden="false" customHeight="false" outlineLevel="0" collapsed="false">
      <c r="A57" s="9" t="s">
        <v>106</v>
      </c>
      <c r="B57" s="10" t="n">
        <v>10</v>
      </c>
      <c r="C57" s="11" t="n">
        <f aca="false">B57/$B$53</f>
        <v>0.169491525423729</v>
      </c>
      <c r="D57" s="12" t="s">
        <v>38</v>
      </c>
    </row>
    <row r="58" customFormat="false" ht="15" hidden="false" customHeight="false" outlineLevel="0" collapsed="false">
      <c r="A58" s="9" t="s">
        <v>107</v>
      </c>
      <c r="B58" s="10" t="n">
        <v>10</v>
      </c>
      <c r="C58" s="11" t="n">
        <f aca="false">B58/$B$53</f>
        <v>0.169491525423729</v>
      </c>
      <c r="D58" s="12" t="s">
        <v>38</v>
      </c>
    </row>
    <row r="59" customFormat="false" ht="15" hidden="false" customHeight="false" outlineLevel="0" collapsed="false">
      <c r="A59" s="9" t="s">
        <v>108</v>
      </c>
      <c r="B59" s="10" t="n">
        <v>5</v>
      </c>
      <c r="C59" s="11" t="n">
        <f aca="false">B59/$B$53</f>
        <v>0.0847457627118644</v>
      </c>
      <c r="D59" s="12" t="s">
        <v>30</v>
      </c>
    </row>
    <row r="61" customFormat="false" ht="19.5" hidden="false" customHeight="true" outlineLevel="0" collapsed="false">
      <c r="A61" s="4" t="s">
        <v>109</v>
      </c>
      <c r="B61" s="4"/>
      <c r="C61" s="4"/>
      <c r="D61" s="4"/>
    </row>
    <row r="62" customFormat="false" ht="15" hidden="false" customHeight="false" outlineLevel="0" collapsed="false">
      <c r="A62" s="5" t="s">
        <v>82</v>
      </c>
      <c r="B62" s="6" t="n">
        <v>59</v>
      </c>
    </row>
    <row r="63" customFormat="false" ht="15" hidden="false" customHeight="false" outlineLevel="0" collapsed="false">
      <c r="A63" s="7" t="s">
        <v>21</v>
      </c>
      <c r="B63" s="8" t="s">
        <v>22</v>
      </c>
      <c r="C63" s="8" t="s">
        <v>23</v>
      </c>
      <c r="D63" s="8" t="s">
        <v>24</v>
      </c>
    </row>
    <row r="64" customFormat="false" ht="15" hidden="false" customHeight="false" outlineLevel="0" collapsed="false">
      <c r="A64" s="9" t="s">
        <v>110</v>
      </c>
      <c r="B64" s="10" t="n">
        <v>42</v>
      </c>
      <c r="C64" s="11" t="n">
        <f aca="false">B64/$B$62</f>
        <v>0.711864406779661</v>
      </c>
      <c r="D64" s="12" t="s">
        <v>44</v>
      </c>
    </row>
    <row r="65" customFormat="false" ht="15" hidden="false" customHeight="false" outlineLevel="0" collapsed="false">
      <c r="A65" s="9" t="s">
        <v>111</v>
      </c>
      <c r="B65" s="10" t="n">
        <v>41</v>
      </c>
      <c r="C65" s="11" t="n">
        <f aca="false">B65/$B$62</f>
        <v>0.694915254237288</v>
      </c>
      <c r="D65" s="12" t="s">
        <v>44</v>
      </c>
    </row>
    <row r="66" customFormat="false" ht="15" hidden="false" customHeight="false" outlineLevel="0" collapsed="false">
      <c r="A66" s="9" t="s">
        <v>112</v>
      </c>
      <c r="B66" s="10" t="n">
        <v>38</v>
      </c>
      <c r="C66" s="11" t="n">
        <f aca="false">B66/$B$62</f>
        <v>0.644067796610169</v>
      </c>
      <c r="D66" s="12" t="s">
        <v>113</v>
      </c>
    </row>
    <row r="67" customFormat="false" ht="15" hidden="false" customHeight="false" outlineLevel="0" collapsed="false">
      <c r="A67" s="9" t="s">
        <v>114</v>
      </c>
      <c r="B67" s="10" t="n">
        <v>30</v>
      </c>
      <c r="C67" s="11" t="n">
        <f aca="false">B67/$B$62</f>
        <v>0.508474576271186</v>
      </c>
      <c r="D67" s="12" t="s">
        <v>115</v>
      </c>
    </row>
    <row r="68" customFormat="false" ht="15" hidden="false" customHeight="false" outlineLevel="0" collapsed="false">
      <c r="A68" s="9" t="s">
        <v>116</v>
      </c>
      <c r="B68" s="10" t="n">
        <v>27</v>
      </c>
      <c r="C68" s="11" t="n">
        <f aca="false">B68/$B$62</f>
        <v>0.457627118644068</v>
      </c>
      <c r="D68" s="12" t="s">
        <v>26</v>
      </c>
    </row>
    <row r="69" customFormat="false" ht="15" hidden="false" customHeight="false" outlineLevel="0" collapsed="false">
      <c r="A69" s="9" t="s">
        <v>117</v>
      </c>
      <c r="B69" s="10" t="n">
        <v>21</v>
      </c>
      <c r="C69" s="11" t="n">
        <f aca="false">B69/$B$62</f>
        <v>0.355932203389831</v>
      </c>
      <c r="D69" s="12" t="s">
        <v>65</v>
      </c>
    </row>
    <row r="70" customFormat="false" ht="15" hidden="false" customHeight="false" outlineLevel="0" collapsed="false">
      <c r="A70" s="9" t="s">
        <v>118</v>
      </c>
      <c r="B70" s="10" t="n">
        <v>11</v>
      </c>
      <c r="C70" s="11" t="n">
        <f aca="false">B70/$B$62</f>
        <v>0.186440677966102</v>
      </c>
      <c r="D70" s="12" t="s">
        <v>90</v>
      </c>
    </row>
    <row r="71" customFormat="false" ht="15" hidden="false" customHeight="false" outlineLevel="0" collapsed="false">
      <c r="A71" s="9" t="s">
        <v>73</v>
      </c>
      <c r="B71" s="10" t="n">
        <v>1</v>
      </c>
      <c r="C71" s="11" t="n">
        <f aca="false">B71/$B$62</f>
        <v>0.0169491525423729</v>
      </c>
      <c r="D71" s="12"/>
    </row>
    <row r="72" customFormat="false" ht="15" hidden="false" customHeight="false" outlineLevel="0" collapsed="false">
      <c r="A72" s="9" t="s">
        <v>119</v>
      </c>
      <c r="B72" s="10" t="n">
        <v>1</v>
      </c>
      <c r="C72" s="11" t="n">
        <f aca="false">B72/$B$62</f>
        <v>0.0169491525423729</v>
      </c>
      <c r="D72" s="12"/>
    </row>
  </sheetData>
  <mergeCells count="8">
    <mergeCell ref="A1:D1"/>
    <mergeCell ref="A3:D3"/>
    <mergeCell ref="A11:D11"/>
    <mergeCell ref="A19:D19"/>
    <mergeCell ref="A27:D27"/>
    <mergeCell ref="A38:D38"/>
    <mergeCell ref="A52:D52"/>
    <mergeCell ref="A61:D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120</v>
      </c>
      <c r="B1" s="1"/>
      <c r="C1" s="1"/>
      <c r="D1" s="1"/>
    </row>
    <row r="3" customFormat="false" ht="19.5" hidden="false" customHeight="true" outlineLevel="0" collapsed="false">
      <c r="A3" s="4" t="s">
        <v>121</v>
      </c>
      <c r="B3" s="4"/>
      <c r="C3" s="4"/>
      <c r="D3" s="4"/>
    </row>
    <row r="4" customFormat="false" ht="15" hidden="false" customHeight="false" outlineLevel="0" collapsed="false">
      <c r="A4" s="5" t="s">
        <v>20</v>
      </c>
      <c r="B4" s="6" t="n">
        <v>59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s">
        <v>23</v>
      </c>
      <c r="D5" s="8" t="s">
        <v>24</v>
      </c>
    </row>
    <row r="6" customFormat="false" ht="15" hidden="false" customHeight="false" outlineLevel="0" collapsed="false">
      <c r="A6" s="9" t="s">
        <v>122</v>
      </c>
      <c r="B6" s="10" t="n">
        <v>45</v>
      </c>
      <c r="C6" s="11" t="n">
        <f aca="false">B6/$B$4</f>
        <v>0.76271186440678</v>
      </c>
      <c r="D6" s="12" t="s">
        <v>36</v>
      </c>
    </row>
    <row r="7" customFormat="false" ht="15" hidden="false" customHeight="false" outlineLevel="0" collapsed="false">
      <c r="A7" s="9" t="s">
        <v>123</v>
      </c>
      <c r="B7" s="10" t="n">
        <v>7</v>
      </c>
      <c r="C7" s="11" t="n">
        <f aca="false">B7/$B$4</f>
        <v>0.11864406779661</v>
      </c>
      <c r="D7" s="12" t="s">
        <v>30</v>
      </c>
    </row>
    <row r="8" customFormat="false" ht="15" hidden="false" customHeight="false" outlineLevel="0" collapsed="false">
      <c r="A8" s="9" t="s">
        <v>124</v>
      </c>
      <c r="B8" s="10" t="n">
        <v>7</v>
      </c>
      <c r="C8" s="11" t="n">
        <f aca="false">B8/$B$4</f>
        <v>0.11864406779661</v>
      </c>
      <c r="D8" s="12" t="s">
        <v>30</v>
      </c>
    </row>
    <row r="10" customFormat="false" ht="19.5" hidden="false" customHeight="true" outlineLevel="0" collapsed="false">
      <c r="A10" s="4" t="s">
        <v>125</v>
      </c>
      <c r="B10" s="4"/>
      <c r="C10" s="4"/>
      <c r="D10" s="4"/>
    </row>
    <row r="11" customFormat="false" ht="15" hidden="false" customHeight="false" outlineLevel="0" collapsed="false">
      <c r="A11" s="5" t="s">
        <v>82</v>
      </c>
      <c r="B11" s="6" t="n">
        <v>12</v>
      </c>
    </row>
    <row r="12" customFormat="false" ht="15" hidden="false" customHeight="false" outlineLevel="0" collapsed="false">
      <c r="A12" s="7" t="s">
        <v>21</v>
      </c>
      <c r="B12" s="8" t="s">
        <v>22</v>
      </c>
      <c r="C12" s="8" t="s">
        <v>23</v>
      </c>
      <c r="D12" s="8" t="s">
        <v>24</v>
      </c>
    </row>
    <row r="13" customFormat="false" ht="15" hidden="false" customHeight="false" outlineLevel="0" collapsed="false">
      <c r="A13" s="9" t="s">
        <v>126</v>
      </c>
      <c r="B13" s="10" t="n">
        <v>3</v>
      </c>
      <c r="C13" s="11" t="n">
        <f aca="false">B13/$B$11</f>
        <v>0.25</v>
      </c>
      <c r="D13" s="12" t="s">
        <v>78</v>
      </c>
    </row>
    <row r="14" customFormat="false" ht="15" hidden="false" customHeight="false" outlineLevel="0" collapsed="false">
      <c r="A14" s="9" t="s">
        <v>127</v>
      </c>
      <c r="B14" s="10" t="n">
        <v>3</v>
      </c>
      <c r="C14" s="11" t="n">
        <f aca="false">B14/$B$11</f>
        <v>0.25</v>
      </c>
      <c r="D14" s="12" t="s">
        <v>78</v>
      </c>
    </row>
    <row r="15" customFormat="false" ht="15" hidden="false" customHeight="false" outlineLevel="0" collapsed="false">
      <c r="A15" s="9" t="s">
        <v>128</v>
      </c>
      <c r="B15" s="10" t="n">
        <v>3</v>
      </c>
      <c r="C15" s="11" t="n">
        <f aca="false">B15/$B$11</f>
        <v>0.25</v>
      </c>
      <c r="D15" s="12" t="s">
        <v>78</v>
      </c>
    </row>
    <row r="16" customFormat="false" ht="15" hidden="false" customHeight="false" outlineLevel="0" collapsed="false">
      <c r="A16" s="9" t="s">
        <v>129</v>
      </c>
      <c r="B16" s="10" t="n">
        <v>2</v>
      </c>
      <c r="C16" s="11" t="n">
        <f aca="false">B16/$B$11</f>
        <v>0.166666666666667</v>
      </c>
      <c r="D16" s="12" t="s">
        <v>38</v>
      </c>
    </row>
    <row r="17" customFormat="false" ht="15" hidden="false" customHeight="false" outlineLevel="0" collapsed="false">
      <c r="A17" s="9" t="s">
        <v>130</v>
      </c>
      <c r="B17" s="10" t="n">
        <v>1</v>
      </c>
      <c r="C17" s="11" t="n">
        <f aca="false">B17/$B$11</f>
        <v>0.0833333333333333</v>
      </c>
      <c r="D17" s="12" t="s">
        <v>30</v>
      </c>
    </row>
    <row r="18" customFormat="false" ht="15" hidden="false" customHeight="false" outlineLevel="0" collapsed="false">
      <c r="A18" s="9" t="s">
        <v>80</v>
      </c>
      <c r="B18" s="10" t="n">
        <v>1</v>
      </c>
      <c r="C18" s="11" t="n">
        <f aca="false">B18/$B$11</f>
        <v>0.0833333333333333</v>
      </c>
      <c r="D18" s="12" t="s">
        <v>30</v>
      </c>
    </row>
    <row r="19" customFormat="false" ht="15" hidden="false" customHeight="false" outlineLevel="0" collapsed="false">
      <c r="A19" s="9" t="s">
        <v>131</v>
      </c>
      <c r="B19" s="10" t="n">
        <v>1</v>
      </c>
      <c r="C19" s="11" t="n">
        <f aca="false">B19/$B$11</f>
        <v>0.0833333333333333</v>
      </c>
      <c r="D19" s="12" t="s">
        <v>30</v>
      </c>
    </row>
    <row r="20" customFormat="false" ht="15" hidden="false" customHeight="false" outlineLevel="0" collapsed="false">
      <c r="A20" s="5" t="s">
        <v>132</v>
      </c>
    </row>
    <row r="22" customFormat="false" ht="19.5" hidden="false" customHeight="true" outlineLevel="0" collapsed="false">
      <c r="A22" s="4" t="s">
        <v>133</v>
      </c>
      <c r="B22" s="4"/>
      <c r="C22" s="4"/>
      <c r="D22" s="4"/>
    </row>
    <row r="23" customFormat="false" ht="15" hidden="false" customHeight="false" outlineLevel="0" collapsed="false">
      <c r="A23" s="5" t="s">
        <v>82</v>
      </c>
      <c r="B23" s="6" t="n">
        <v>46</v>
      </c>
    </row>
    <row r="24" customFormat="false" ht="15" hidden="false" customHeight="false" outlineLevel="0" collapsed="false">
      <c r="A24" s="7" t="s">
        <v>21</v>
      </c>
      <c r="B24" s="8" t="s">
        <v>22</v>
      </c>
      <c r="C24" s="8" t="s">
        <v>23</v>
      </c>
      <c r="D24" s="8" t="s">
        <v>24</v>
      </c>
    </row>
    <row r="25" customFormat="false" ht="15" hidden="false" customHeight="false" outlineLevel="0" collapsed="false">
      <c r="A25" s="9" t="s">
        <v>130</v>
      </c>
      <c r="B25" s="10" t="n">
        <v>36</v>
      </c>
      <c r="C25" s="11" t="n">
        <f aca="false">B25/$B$23</f>
        <v>0.782608695652174</v>
      </c>
      <c r="D25" s="12" t="s">
        <v>134</v>
      </c>
    </row>
    <row r="26" customFormat="false" ht="15" hidden="false" customHeight="false" outlineLevel="0" collapsed="false">
      <c r="A26" s="9" t="s">
        <v>135</v>
      </c>
      <c r="B26" s="10" t="n">
        <v>10</v>
      </c>
      <c r="C26" s="11" t="n">
        <f aca="false">B26/$B$23</f>
        <v>0.217391304347826</v>
      </c>
      <c r="D26" s="12" t="s">
        <v>90</v>
      </c>
    </row>
    <row r="27" customFormat="false" ht="15" hidden="false" customHeight="false" outlineLevel="0" collapsed="false">
      <c r="A27" s="9" t="s">
        <v>136</v>
      </c>
      <c r="B27" s="10" t="n">
        <v>3</v>
      </c>
      <c r="C27" s="11" t="n">
        <f aca="false">B27/$B$23</f>
        <v>0.0652173913043478</v>
      </c>
      <c r="D27" s="12" t="s">
        <v>32</v>
      </c>
    </row>
    <row r="28" customFormat="false" ht="15" hidden="false" customHeight="false" outlineLevel="0" collapsed="false">
      <c r="A28" s="9" t="s">
        <v>137</v>
      </c>
      <c r="B28" s="10" t="n">
        <v>1</v>
      </c>
      <c r="C28" s="11" t="n">
        <f aca="false">B28/$B$23</f>
        <v>0.0217391304347826</v>
      </c>
      <c r="D28" s="12"/>
    </row>
  </sheetData>
  <mergeCells count="4">
    <mergeCell ref="A1:D1"/>
    <mergeCell ref="A3:D3"/>
    <mergeCell ref="A10:D10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138</v>
      </c>
      <c r="B1" s="1"/>
      <c r="C1" s="1"/>
      <c r="D1" s="1"/>
    </row>
    <row r="3" customFormat="false" ht="19.5" hidden="false" customHeight="true" outlineLevel="0" collapsed="false">
      <c r="A3" s="4" t="s">
        <v>139</v>
      </c>
      <c r="B3" s="4"/>
      <c r="C3" s="4"/>
      <c r="D3" s="4"/>
    </row>
    <row r="4" customFormat="false" ht="15" hidden="false" customHeight="false" outlineLevel="0" collapsed="false">
      <c r="A4" s="5" t="s">
        <v>20</v>
      </c>
      <c r="B4" s="6" t="n">
        <v>59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s">
        <v>23</v>
      </c>
      <c r="D5" s="8" t="s">
        <v>24</v>
      </c>
    </row>
    <row r="6" customFormat="false" ht="15" hidden="false" customHeight="false" outlineLevel="0" collapsed="false">
      <c r="A6" s="9" t="s">
        <v>140</v>
      </c>
      <c r="B6" s="10" t="n">
        <v>36</v>
      </c>
      <c r="C6" s="11" t="n">
        <f aca="false">B6/$B$4</f>
        <v>0.610169491525424</v>
      </c>
      <c r="D6" s="12" t="s">
        <v>76</v>
      </c>
    </row>
    <row r="7" customFormat="false" ht="15" hidden="false" customHeight="false" outlineLevel="0" collapsed="false">
      <c r="A7" s="9" t="s">
        <v>141</v>
      </c>
      <c r="B7" s="10" t="n">
        <v>18</v>
      </c>
      <c r="C7" s="11" t="n">
        <f aca="false">B7/$B$4</f>
        <v>0.305084745762712</v>
      </c>
      <c r="D7" s="12" t="s">
        <v>28</v>
      </c>
    </row>
    <row r="8" customFormat="false" ht="15" hidden="false" customHeight="false" outlineLevel="0" collapsed="false">
      <c r="A8" s="9" t="s">
        <v>142</v>
      </c>
      <c r="B8" s="10" t="n">
        <v>4</v>
      </c>
      <c r="C8" s="11" t="n">
        <f aca="false">B8/$B$4</f>
        <v>0.0677966101694915</v>
      </c>
      <c r="D8" s="12" t="s">
        <v>32</v>
      </c>
    </row>
    <row r="9" customFormat="false" ht="15" hidden="false" customHeight="false" outlineLevel="0" collapsed="false">
      <c r="A9" s="9" t="s">
        <v>143</v>
      </c>
      <c r="B9" s="10" t="n">
        <v>1</v>
      </c>
      <c r="C9" s="11" t="n">
        <f aca="false">B9/$B$4</f>
        <v>0.0169491525423729</v>
      </c>
      <c r="D9" s="12"/>
    </row>
    <row r="11" customFormat="false" ht="19.5" hidden="false" customHeight="true" outlineLevel="0" collapsed="false">
      <c r="A11" s="4" t="s">
        <v>144</v>
      </c>
      <c r="B11" s="4"/>
      <c r="C11" s="4"/>
      <c r="D11" s="4"/>
    </row>
    <row r="12" customFormat="false" ht="15" hidden="false" customHeight="false" outlineLevel="0" collapsed="false">
      <c r="A12" s="5" t="s">
        <v>20</v>
      </c>
      <c r="B12" s="6" t="n">
        <v>59</v>
      </c>
    </row>
    <row r="13" customFormat="false" ht="15" hidden="false" customHeight="false" outlineLevel="0" collapsed="false">
      <c r="A13" s="7" t="s">
        <v>21</v>
      </c>
      <c r="B13" s="8" t="s">
        <v>22</v>
      </c>
      <c r="C13" s="8" t="s">
        <v>23</v>
      </c>
      <c r="D13" s="8" t="s">
        <v>24</v>
      </c>
    </row>
    <row r="14" customFormat="false" ht="23.85" hidden="false" customHeight="false" outlineLevel="0" collapsed="false">
      <c r="A14" s="9" t="s">
        <v>145</v>
      </c>
      <c r="B14" s="10" t="n">
        <v>29</v>
      </c>
      <c r="C14" s="11" t="n">
        <f aca="false">B14/$B$12</f>
        <v>0.491525423728814</v>
      </c>
      <c r="D14" s="12" t="s">
        <v>115</v>
      </c>
    </row>
    <row r="15" customFormat="false" ht="23.85" hidden="false" customHeight="false" outlineLevel="0" collapsed="false">
      <c r="A15" s="9" t="s">
        <v>146</v>
      </c>
      <c r="B15" s="10" t="n">
        <v>13</v>
      </c>
      <c r="C15" s="11" t="n">
        <f aca="false">B15/$B$12</f>
        <v>0.220338983050847</v>
      </c>
      <c r="D15" s="12" t="s">
        <v>90</v>
      </c>
    </row>
    <row r="16" customFormat="false" ht="23.85" hidden="false" customHeight="false" outlineLevel="0" collapsed="false">
      <c r="A16" s="9" t="s">
        <v>147</v>
      </c>
      <c r="B16" s="10" t="n">
        <v>11</v>
      </c>
      <c r="C16" s="11" t="n">
        <f aca="false">B16/$B$12</f>
        <v>0.186440677966102</v>
      </c>
      <c r="D16" s="12" t="s">
        <v>90</v>
      </c>
    </row>
    <row r="17" customFormat="false" ht="15" hidden="false" customHeight="false" outlineLevel="0" collapsed="false">
      <c r="A17" s="9" t="s">
        <v>148</v>
      </c>
      <c r="B17" s="10" t="n">
        <v>6</v>
      </c>
      <c r="C17" s="11" t="n">
        <f aca="false">B17/$B$12</f>
        <v>0.101694915254237</v>
      </c>
      <c r="D17" s="12" t="s">
        <v>30</v>
      </c>
    </row>
    <row r="19" customFormat="false" ht="19.5" hidden="false" customHeight="true" outlineLevel="0" collapsed="false">
      <c r="A19" s="4" t="s">
        <v>149</v>
      </c>
      <c r="B19" s="4"/>
      <c r="C19" s="4"/>
      <c r="D19" s="4"/>
    </row>
    <row r="20" customFormat="false" ht="15" hidden="false" customHeight="false" outlineLevel="0" collapsed="false">
      <c r="A20" s="5" t="s">
        <v>20</v>
      </c>
      <c r="B20" s="6" t="n">
        <v>59</v>
      </c>
    </row>
    <row r="21" customFormat="false" ht="15" hidden="false" customHeight="false" outlineLevel="0" collapsed="false">
      <c r="A21" s="7" t="s">
        <v>21</v>
      </c>
      <c r="B21" s="8" t="s">
        <v>22</v>
      </c>
      <c r="C21" s="8" t="s">
        <v>23</v>
      </c>
      <c r="D21" s="8" t="s">
        <v>24</v>
      </c>
    </row>
    <row r="22" customFormat="false" ht="15" hidden="false" customHeight="false" outlineLevel="0" collapsed="false">
      <c r="A22" s="9" t="s">
        <v>150</v>
      </c>
      <c r="B22" s="10" t="n">
        <v>19</v>
      </c>
      <c r="C22" s="11" t="n">
        <f aca="false">B22/$B$20</f>
        <v>0.322033898305085</v>
      </c>
      <c r="D22" s="12" t="s">
        <v>28</v>
      </c>
    </row>
    <row r="23" customFormat="false" ht="15" hidden="false" customHeight="false" outlineLevel="0" collapsed="false">
      <c r="A23" s="9" t="s">
        <v>151</v>
      </c>
      <c r="B23" s="10" t="n">
        <v>15</v>
      </c>
      <c r="C23" s="11" t="n">
        <f aca="false">B23/$B$20</f>
        <v>0.254237288135593</v>
      </c>
      <c r="D23" s="12" t="s">
        <v>78</v>
      </c>
    </row>
    <row r="24" customFormat="false" ht="15" hidden="false" customHeight="false" outlineLevel="0" collapsed="false">
      <c r="A24" s="9" t="s">
        <v>152</v>
      </c>
      <c r="B24" s="10" t="n">
        <v>12</v>
      </c>
      <c r="C24" s="11" t="n">
        <f aca="false">B24/$B$20</f>
        <v>0.203389830508475</v>
      </c>
      <c r="D24" s="12" t="s">
        <v>90</v>
      </c>
    </row>
    <row r="25" customFormat="false" ht="15" hidden="false" customHeight="false" outlineLevel="0" collapsed="false">
      <c r="A25" s="9" t="s">
        <v>153</v>
      </c>
      <c r="B25" s="10" t="n">
        <v>8</v>
      </c>
      <c r="C25" s="11" t="n">
        <f aca="false">B25/$B$20</f>
        <v>0.135593220338983</v>
      </c>
      <c r="D25" s="12" t="s">
        <v>38</v>
      </c>
    </row>
    <row r="26" customFormat="false" ht="15" hidden="false" customHeight="false" outlineLevel="0" collapsed="false">
      <c r="A26" s="9" t="s">
        <v>154</v>
      </c>
      <c r="B26" s="10" t="n">
        <v>4</v>
      </c>
      <c r="C26" s="11" t="n">
        <f aca="false">B26/$B$20</f>
        <v>0.0677966101694915</v>
      </c>
      <c r="D26" s="12" t="s">
        <v>32</v>
      </c>
    </row>
    <row r="27" customFormat="false" ht="15" hidden="false" customHeight="false" outlineLevel="0" collapsed="false">
      <c r="A27" s="9" t="s">
        <v>73</v>
      </c>
      <c r="B27" s="10" t="n">
        <v>1</v>
      </c>
      <c r="C27" s="11" t="n">
        <f aca="false">B27/$B$20</f>
        <v>0.0169491525423729</v>
      </c>
      <c r="D27" s="12"/>
    </row>
  </sheetData>
  <mergeCells count="4">
    <mergeCell ref="A1:D1"/>
    <mergeCell ref="A3:D3"/>
    <mergeCell ref="A11:D1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155</v>
      </c>
      <c r="B1" s="1"/>
      <c r="C1" s="1"/>
      <c r="D1" s="1"/>
    </row>
    <row r="3" customFormat="false" ht="19.5" hidden="false" customHeight="true" outlineLevel="0" collapsed="false">
      <c r="A3" s="4" t="s">
        <v>156</v>
      </c>
      <c r="B3" s="4"/>
      <c r="C3" s="4"/>
      <c r="D3" s="4"/>
    </row>
    <row r="4" customFormat="false" ht="15" hidden="false" customHeight="false" outlineLevel="0" collapsed="false">
      <c r="A4" s="5" t="s">
        <v>82</v>
      </c>
      <c r="B4" s="6" t="n">
        <v>59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s">
        <v>23</v>
      </c>
      <c r="D5" s="8" t="s">
        <v>24</v>
      </c>
    </row>
    <row r="6" customFormat="false" ht="23.85" hidden="false" customHeight="false" outlineLevel="0" collapsed="false">
      <c r="A6" s="9" t="s">
        <v>157</v>
      </c>
      <c r="B6" s="10" t="n">
        <v>41</v>
      </c>
      <c r="C6" s="11" t="n">
        <f aca="false">B6/$B$4</f>
        <v>0.694915254237288</v>
      </c>
      <c r="D6" s="12" t="s">
        <v>44</v>
      </c>
    </row>
    <row r="7" customFormat="false" ht="23.85" hidden="false" customHeight="false" outlineLevel="0" collapsed="false">
      <c r="A7" s="9" t="s">
        <v>158</v>
      </c>
      <c r="B7" s="10" t="n">
        <v>36</v>
      </c>
      <c r="C7" s="11" t="n">
        <f aca="false">B7/$B$4</f>
        <v>0.610169491525424</v>
      </c>
      <c r="D7" s="12" t="s">
        <v>76</v>
      </c>
    </row>
    <row r="8" customFormat="false" ht="23.85" hidden="false" customHeight="false" outlineLevel="0" collapsed="false">
      <c r="A8" s="9" t="s">
        <v>159</v>
      </c>
      <c r="B8" s="10" t="n">
        <v>27</v>
      </c>
      <c r="C8" s="11" t="n">
        <f aca="false">B8/$B$4</f>
        <v>0.457627118644068</v>
      </c>
      <c r="D8" s="12" t="s">
        <v>26</v>
      </c>
    </row>
    <row r="9" customFormat="false" ht="23.85" hidden="false" customHeight="false" outlineLevel="0" collapsed="false">
      <c r="A9" s="9" t="s">
        <v>160</v>
      </c>
      <c r="B9" s="10" t="n">
        <v>26</v>
      </c>
      <c r="C9" s="11" t="n">
        <f aca="false">B9/$B$4</f>
        <v>0.440677966101695</v>
      </c>
      <c r="D9" s="12" t="s">
        <v>26</v>
      </c>
    </row>
    <row r="10" customFormat="false" ht="23.85" hidden="false" customHeight="false" outlineLevel="0" collapsed="false">
      <c r="A10" s="9" t="s">
        <v>161</v>
      </c>
      <c r="B10" s="10" t="n">
        <v>23</v>
      </c>
      <c r="C10" s="11" t="n">
        <f aca="false">B10/$B$4</f>
        <v>0.389830508474576</v>
      </c>
      <c r="D10" s="12" t="s">
        <v>70</v>
      </c>
    </row>
    <row r="11" customFormat="false" ht="23.85" hidden="false" customHeight="false" outlineLevel="0" collapsed="false">
      <c r="A11" s="9" t="s">
        <v>162</v>
      </c>
      <c r="B11" s="10" t="n">
        <v>22</v>
      </c>
      <c r="C11" s="11" t="n">
        <f aca="false">B11/$B$4</f>
        <v>0.372881355932203</v>
      </c>
      <c r="D11" s="12" t="s">
        <v>65</v>
      </c>
    </row>
    <row r="12" customFormat="false" ht="23.85" hidden="false" customHeight="false" outlineLevel="0" collapsed="false">
      <c r="A12" s="9" t="s">
        <v>163</v>
      </c>
      <c r="B12" s="10" t="n">
        <v>17</v>
      </c>
      <c r="C12" s="11" t="n">
        <f aca="false">B12/$B$4</f>
        <v>0.288135593220339</v>
      </c>
      <c r="D12" s="12" t="s">
        <v>28</v>
      </c>
    </row>
    <row r="13" customFormat="false" ht="23.85" hidden="false" customHeight="false" outlineLevel="0" collapsed="false">
      <c r="A13" s="9" t="s">
        <v>164</v>
      </c>
      <c r="B13" s="10" t="n">
        <v>16</v>
      </c>
      <c r="C13" s="11" t="n">
        <f aca="false">B13/$B$4</f>
        <v>0.271186440677966</v>
      </c>
      <c r="D13" s="12" t="s">
        <v>78</v>
      </c>
    </row>
    <row r="14" customFormat="false" ht="15" hidden="false" customHeight="false" outlineLevel="0" collapsed="false">
      <c r="A14" s="5" t="s">
        <v>165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166</v>
      </c>
      <c r="B1" s="1"/>
      <c r="C1" s="1"/>
      <c r="D1" s="1"/>
    </row>
    <row r="3" customFormat="false" ht="19.5" hidden="false" customHeight="true" outlineLevel="0" collapsed="false">
      <c r="A3" s="4" t="s">
        <v>167</v>
      </c>
      <c r="B3" s="4"/>
      <c r="C3" s="4"/>
      <c r="D3" s="4"/>
    </row>
    <row r="4" customFormat="false" ht="15" hidden="false" customHeight="false" outlineLevel="0" collapsed="false">
      <c r="A4" s="5" t="s">
        <v>20</v>
      </c>
      <c r="B4" s="6" t="n">
        <v>59</v>
      </c>
    </row>
    <row r="5" customFormat="false" ht="15" hidden="false" customHeight="false" outlineLevel="0" collapsed="false">
      <c r="A5" s="7" t="s">
        <v>21</v>
      </c>
      <c r="B5" s="8" t="s">
        <v>22</v>
      </c>
      <c r="C5" s="8" t="s">
        <v>23</v>
      </c>
      <c r="D5" s="8" t="s">
        <v>24</v>
      </c>
    </row>
    <row r="6" customFormat="false" ht="15" hidden="false" customHeight="false" outlineLevel="0" collapsed="false">
      <c r="A6" s="9" t="s">
        <v>168</v>
      </c>
      <c r="B6" s="10" t="n">
        <v>33</v>
      </c>
      <c r="C6" s="11" t="n">
        <f aca="false">B6/$B$4</f>
        <v>0.559322033898305</v>
      </c>
      <c r="D6" s="12" t="s">
        <v>85</v>
      </c>
    </row>
    <row r="7" customFormat="false" ht="15" hidden="false" customHeight="false" outlineLevel="0" collapsed="false">
      <c r="A7" s="9" t="s">
        <v>169</v>
      </c>
      <c r="B7" s="10" t="n">
        <v>20</v>
      </c>
      <c r="C7" s="11" t="n">
        <f aca="false">B7/$B$4</f>
        <v>0.338983050847458</v>
      </c>
      <c r="D7" s="12" t="s">
        <v>65</v>
      </c>
    </row>
    <row r="8" customFormat="false" ht="15" hidden="false" customHeight="false" outlineLevel="0" collapsed="false">
      <c r="A8" s="9" t="s">
        <v>170</v>
      </c>
      <c r="B8" s="10" t="n">
        <v>6</v>
      </c>
      <c r="C8" s="11" t="n">
        <f aca="false">B8/$B$4</f>
        <v>0.101694915254237</v>
      </c>
      <c r="D8" s="12" t="s">
        <v>30</v>
      </c>
    </row>
    <row r="10" customFormat="false" ht="19.5" hidden="false" customHeight="true" outlineLevel="0" collapsed="false">
      <c r="A10" s="4" t="s">
        <v>171</v>
      </c>
      <c r="B10" s="4"/>
      <c r="C10" s="4"/>
      <c r="D10" s="4"/>
    </row>
    <row r="11" customFormat="false" ht="15" hidden="false" customHeight="false" outlineLevel="0" collapsed="false">
      <c r="A11" s="5" t="s">
        <v>20</v>
      </c>
      <c r="B11" s="6" t="n">
        <v>59</v>
      </c>
    </row>
    <row r="12" customFormat="false" ht="15" hidden="false" customHeight="false" outlineLevel="0" collapsed="false">
      <c r="A12" s="7" t="s">
        <v>21</v>
      </c>
      <c r="B12" s="8" t="s">
        <v>22</v>
      </c>
      <c r="C12" s="8" t="s">
        <v>23</v>
      </c>
      <c r="D12" s="8" t="s">
        <v>24</v>
      </c>
    </row>
    <row r="13" customFormat="false" ht="15" hidden="false" customHeight="false" outlineLevel="0" collapsed="false">
      <c r="A13" s="9" t="s">
        <v>172</v>
      </c>
      <c r="B13" s="10" t="n">
        <v>15</v>
      </c>
      <c r="C13" s="11" t="n">
        <f aca="false">B13/$B$11</f>
        <v>0.254237288135593</v>
      </c>
      <c r="D13" s="12" t="s">
        <v>78</v>
      </c>
    </row>
    <row r="14" customFormat="false" ht="15" hidden="false" customHeight="false" outlineLevel="0" collapsed="false">
      <c r="A14" s="9" t="s">
        <v>173</v>
      </c>
      <c r="B14" s="10" t="n">
        <v>15</v>
      </c>
      <c r="C14" s="11" t="n">
        <f aca="false">B14/$B$11</f>
        <v>0.254237288135593</v>
      </c>
      <c r="D14" s="12" t="s">
        <v>78</v>
      </c>
    </row>
    <row r="15" customFormat="false" ht="15" hidden="false" customHeight="false" outlineLevel="0" collapsed="false">
      <c r="A15" s="9" t="s">
        <v>174</v>
      </c>
      <c r="B15" s="10" t="n">
        <v>13</v>
      </c>
      <c r="C15" s="11" t="n">
        <f aca="false">B15/$B$11</f>
        <v>0.220338983050847</v>
      </c>
      <c r="D15" s="12" t="s">
        <v>90</v>
      </c>
    </row>
    <row r="16" customFormat="false" ht="15" hidden="false" customHeight="false" outlineLevel="0" collapsed="false">
      <c r="A16" s="9" t="s">
        <v>175</v>
      </c>
      <c r="B16" s="10" t="n">
        <v>12</v>
      </c>
      <c r="C16" s="11" t="n">
        <f aca="false">B16/$B$11</f>
        <v>0.203389830508475</v>
      </c>
      <c r="D16" s="12" t="s">
        <v>90</v>
      </c>
    </row>
    <row r="17" customFormat="false" ht="15" hidden="false" customHeight="false" outlineLevel="0" collapsed="false">
      <c r="A17" s="9" t="s">
        <v>176</v>
      </c>
      <c r="B17" s="10" t="n">
        <v>4</v>
      </c>
      <c r="C17" s="11" t="n">
        <f aca="false">B17/$B$11</f>
        <v>0.0677966101694915</v>
      </c>
      <c r="D17" s="12" t="s">
        <v>32</v>
      </c>
    </row>
  </sheetData>
  <mergeCells count="3">
    <mergeCell ref="A1:D1"/>
    <mergeCell ref="A3:D3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" t="s">
        <v>177</v>
      </c>
      <c r="B1" s="1"/>
    </row>
    <row r="3" customFormat="false" ht="14.15" hidden="false" customHeight="false" outlineLevel="0" collapsed="false">
      <c r="A3" s="13" t="s">
        <v>178</v>
      </c>
      <c r="B3" s="13"/>
    </row>
    <row r="4" customFormat="false" ht="15" hidden="false" customHeight="true" outlineLevel="0" collapsed="false">
      <c r="A4" s="14" t="s">
        <v>179</v>
      </c>
      <c r="B4" s="14"/>
    </row>
    <row r="5" customFormat="false" ht="15" hidden="false" customHeight="true" outlineLevel="0" collapsed="false">
      <c r="A5" s="14" t="s">
        <v>180</v>
      </c>
      <c r="B5" s="14"/>
    </row>
    <row r="6" customFormat="false" ht="15" hidden="false" customHeight="true" outlineLevel="0" collapsed="false">
      <c r="A6" s="14" t="s">
        <v>181</v>
      </c>
      <c r="B6" s="14"/>
    </row>
    <row r="7" customFormat="false" ht="15" hidden="false" customHeight="true" outlineLevel="0" collapsed="false">
      <c r="A7" s="14" t="s">
        <v>182</v>
      </c>
      <c r="B7" s="14"/>
    </row>
    <row r="8" customFormat="false" ht="15" hidden="false" customHeight="true" outlineLevel="0" collapsed="false">
      <c r="A8" s="14" t="s">
        <v>183</v>
      </c>
      <c r="B8" s="14"/>
    </row>
    <row r="9" customFormat="false" ht="15" hidden="false" customHeight="true" outlineLevel="0" collapsed="false">
      <c r="A9" s="14" t="s">
        <v>184</v>
      </c>
      <c r="B9" s="14"/>
    </row>
    <row r="10" customFormat="false" ht="15" hidden="false" customHeight="true" outlineLevel="0" collapsed="false">
      <c r="A10" s="14" t="s">
        <v>185</v>
      </c>
      <c r="B10" s="14"/>
    </row>
    <row r="11" customFormat="false" ht="15" hidden="false" customHeight="true" outlineLevel="0" collapsed="false">
      <c r="A11" s="14" t="s">
        <v>186</v>
      </c>
      <c r="B11" s="14"/>
    </row>
    <row r="12" customFormat="false" ht="15" hidden="false" customHeight="true" outlineLevel="0" collapsed="false">
      <c r="A12" s="14" t="s">
        <v>187</v>
      </c>
      <c r="B12" s="14"/>
    </row>
    <row r="13" customFormat="false" ht="15" hidden="false" customHeight="true" outlineLevel="0" collapsed="false">
      <c r="A13" s="14" t="s">
        <v>188</v>
      </c>
      <c r="B13" s="14"/>
    </row>
    <row r="14" customFormat="false" ht="15" hidden="false" customHeight="true" outlineLevel="0" collapsed="false">
      <c r="A14" s="14" t="s">
        <v>189</v>
      </c>
      <c r="B14" s="14"/>
    </row>
    <row r="15" customFormat="false" ht="15" hidden="false" customHeight="true" outlineLevel="0" collapsed="false">
      <c r="A15" s="14" t="s">
        <v>190</v>
      </c>
      <c r="B15" s="14"/>
    </row>
    <row r="16" customFormat="false" ht="15" hidden="false" customHeight="true" outlineLevel="0" collapsed="false">
      <c r="A16" s="14" t="s">
        <v>191</v>
      </c>
      <c r="B16" s="14"/>
    </row>
    <row r="17" customFormat="false" ht="15" hidden="false" customHeight="true" outlineLevel="0" collapsed="false">
      <c r="A17" s="14" t="s">
        <v>192</v>
      </c>
      <c r="B17" s="14"/>
    </row>
    <row r="18" customFormat="false" ht="15" hidden="false" customHeight="true" outlineLevel="0" collapsed="false">
      <c r="A18" s="14" t="s">
        <v>193</v>
      </c>
      <c r="B18" s="14"/>
    </row>
    <row r="19" customFormat="false" ht="23.85" hidden="false" customHeight="true" outlineLevel="0" collapsed="false">
      <c r="A19" s="14" t="s">
        <v>194</v>
      </c>
      <c r="B19" s="14"/>
    </row>
    <row r="20" customFormat="false" ht="15" hidden="false" customHeight="true" outlineLevel="0" collapsed="false">
      <c r="A20" s="14" t="s">
        <v>195</v>
      </c>
      <c r="B20" s="14"/>
    </row>
    <row r="21" customFormat="false" ht="15" hidden="false" customHeight="true" outlineLevel="0" collapsed="false">
      <c r="A21" s="14" t="s">
        <v>196</v>
      </c>
      <c r="B21" s="14"/>
    </row>
    <row r="22" customFormat="false" ht="15" hidden="false" customHeight="true" outlineLevel="0" collapsed="false">
      <c r="A22" s="14" t="s">
        <v>197</v>
      </c>
      <c r="B22" s="14"/>
    </row>
    <row r="23" customFormat="false" ht="15" hidden="false" customHeight="true" outlineLevel="0" collapsed="false">
      <c r="A23" s="14" t="s">
        <v>198</v>
      </c>
      <c r="B23" s="14"/>
    </row>
    <row r="24" customFormat="false" ht="15" hidden="false" customHeight="true" outlineLevel="0" collapsed="false">
      <c r="A24" s="14" t="s">
        <v>199</v>
      </c>
      <c r="B24" s="14"/>
    </row>
    <row r="25" customFormat="false" ht="15" hidden="false" customHeight="true" outlineLevel="0" collapsed="false">
      <c r="A25" s="14" t="s">
        <v>200</v>
      </c>
      <c r="B25" s="14"/>
    </row>
    <row r="26" customFormat="false" ht="15" hidden="false" customHeight="true" outlineLevel="0" collapsed="false">
      <c r="A26" s="14" t="s">
        <v>201</v>
      </c>
      <c r="B26" s="14"/>
    </row>
    <row r="27" customFormat="false" ht="15" hidden="false" customHeight="true" outlineLevel="0" collapsed="false">
      <c r="A27" s="14" t="s">
        <v>202</v>
      </c>
      <c r="B27" s="14"/>
    </row>
    <row r="28" customFormat="false" ht="15" hidden="false" customHeight="true" outlineLevel="0" collapsed="false">
      <c r="A28" s="14" t="s">
        <v>203</v>
      </c>
      <c r="B28" s="14"/>
    </row>
    <row r="29" customFormat="false" ht="15" hidden="false" customHeight="true" outlineLevel="0" collapsed="false">
      <c r="A29" s="14" t="s">
        <v>204</v>
      </c>
      <c r="B29" s="14"/>
    </row>
    <row r="30" customFormat="false" ht="23.85" hidden="false" customHeight="true" outlineLevel="0" collapsed="false">
      <c r="A30" s="14" t="s">
        <v>205</v>
      </c>
      <c r="B30" s="14"/>
    </row>
    <row r="31" customFormat="false" ht="15" hidden="false" customHeight="true" outlineLevel="0" collapsed="false">
      <c r="A31" s="14" t="s">
        <v>206</v>
      </c>
      <c r="B31" s="14"/>
    </row>
    <row r="32" customFormat="false" ht="15" hidden="false" customHeight="true" outlineLevel="0" collapsed="false">
      <c r="A32" s="14" t="s">
        <v>207</v>
      </c>
      <c r="B32" s="14"/>
    </row>
    <row r="33" customFormat="false" ht="15" hidden="false" customHeight="true" outlineLevel="0" collapsed="false">
      <c r="A33" s="14" t="s">
        <v>208</v>
      </c>
      <c r="B33" s="14"/>
    </row>
    <row r="34" customFormat="false" ht="15" hidden="false" customHeight="true" outlineLevel="0" collapsed="false">
      <c r="A34" s="14" t="s">
        <v>209</v>
      </c>
      <c r="B34" s="14"/>
    </row>
    <row r="35" customFormat="false" ht="15" hidden="false" customHeight="true" outlineLevel="0" collapsed="false">
      <c r="A35" s="14" t="s">
        <v>210</v>
      </c>
      <c r="B35" s="14"/>
    </row>
    <row r="36" customFormat="false" ht="23.85" hidden="false" customHeight="true" outlineLevel="0" collapsed="false">
      <c r="A36" s="14" t="s">
        <v>211</v>
      </c>
      <c r="B36" s="14"/>
    </row>
    <row r="37" customFormat="false" ht="15" hidden="false" customHeight="true" outlineLevel="0" collapsed="false">
      <c r="A37" s="14" t="s">
        <v>193</v>
      </c>
      <c r="B37" s="14"/>
    </row>
    <row r="38" customFormat="false" ht="15" hidden="false" customHeight="true" outlineLevel="0" collapsed="false">
      <c r="A38" s="14" t="s">
        <v>212</v>
      </c>
      <c r="B38" s="14"/>
    </row>
    <row r="39" customFormat="false" ht="15" hidden="false" customHeight="true" outlineLevel="0" collapsed="false">
      <c r="A39" s="14" t="s">
        <v>213</v>
      </c>
      <c r="B39" s="14"/>
    </row>
    <row r="40" customFormat="false" ht="15" hidden="false" customHeight="true" outlineLevel="0" collapsed="false">
      <c r="A40" s="14" t="s">
        <v>214</v>
      </c>
      <c r="B40" s="14"/>
    </row>
    <row r="41" customFormat="false" ht="15" hidden="false" customHeight="true" outlineLevel="0" collapsed="false">
      <c r="A41" s="14" t="s">
        <v>215</v>
      </c>
      <c r="B41" s="14"/>
    </row>
    <row r="42" customFormat="false" ht="15" hidden="false" customHeight="true" outlineLevel="0" collapsed="false">
      <c r="A42" s="14" t="s">
        <v>216</v>
      </c>
      <c r="B42" s="14"/>
    </row>
    <row r="43" customFormat="false" ht="15" hidden="false" customHeight="true" outlineLevel="0" collapsed="false">
      <c r="A43" s="14" t="s">
        <v>217</v>
      </c>
      <c r="B43" s="14"/>
    </row>
    <row r="44" customFormat="false" ht="23.85" hidden="false" customHeight="true" outlineLevel="0" collapsed="false">
      <c r="A44" s="14" t="s">
        <v>218</v>
      </c>
      <c r="B44" s="14"/>
    </row>
    <row r="45" customFormat="false" ht="15" hidden="false" customHeight="true" outlineLevel="0" collapsed="false">
      <c r="A45" s="14" t="s">
        <v>219</v>
      </c>
      <c r="B45" s="14"/>
    </row>
    <row r="46" customFormat="false" ht="15" hidden="false" customHeight="true" outlineLevel="0" collapsed="false">
      <c r="A46" s="14" t="s">
        <v>220</v>
      </c>
      <c r="B46" s="14"/>
    </row>
    <row r="47" customFormat="false" ht="15" hidden="false" customHeight="true" outlineLevel="0" collapsed="false">
      <c r="A47" s="14" t="s">
        <v>221</v>
      </c>
      <c r="B47" s="14"/>
    </row>
    <row r="48" customFormat="false" ht="15" hidden="false" customHeight="true" outlineLevel="0" collapsed="false">
      <c r="A48" s="14" t="s">
        <v>222</v>
      </c>
      <c r="B48" s="14"/>
    </row>
    <row r="49" customFormat="false" ht="15" hidden="false" customHeight="true" outlineLevel="0" collapsed="false">
      <c r="A49" s="14" t="s">
        <v>223</v>
      </c>
      <c r="B49" s="14"/>
    </row>
    <row r="50" customFormat="false" ht="15" hidden="false" customHeight="true" outlineLevel="0" collapsed="false">
      <c r="A50" s="14" t="s">
        <v>224</v>
      </c>
      <c r="B50" s="14"/>
    </row>
    <row r="51" customFormat="false" ht="15" hidden="false" customHeight="true" outlineLevel="0" collapsed="false">
      <c r="A51" s="14" t="s">
        <v>225</v>
      </c>
      <c r="B51" s="14"/>
    </row>
    <row r="52" customFormat="false" ht="15" hidden="false" customHeight="true" outlineLevel="0" collapsed="false">
      <c r="A52" s="14" t="s">
        <v>226</v>
      </c>
      <c r="B52" s="14"/>
    </row>
    <row r="53" customFormat="false" ht="35.05" hidden="false" customHeight="true" outlineLevel="0" collapsed="false">
      <c r="A53" s="14" t="s">
        <v>227</v>
      </c>
      <c r="B53" s="14"/>
    </row>
    <row r="54" customFormat="false" ht="15" hidden="false" customHeight="true" outlineLevel="0" collapsed="false">
      <c r="A54" s="14" t="s">
        <v>228</v>
      </c>
      <c r="B54" s="14"/>
    </row>
    <row r="55" customFormat="false" ht="15" hidden="false" customHeight="true" outlineLevel="0" collapsed="false">
      <c r="A55" s="14" t="s">
        <v>229</v>
      </c>
      <c r="B55" s="14"/>
    </row>
    <row r="56" customFormat="false" ht="15" hidden="false" customHeight="true" outlineLevel="0" collapsed="false">
      <c r="A56" s="14" t="s">
        <v>230</v>
      </c>
      <c r="B56" s="14"/>
    </row>
    <row r="57" customFormat="false" ht="15" hidden="false" customHeight="true" outlineLevel="0" collapsed="false">
      <c r="A57" s="14" t="s">
        <v>231</v>
      </c>
      <c r="B57" s="14"/>
    </row>
    <row r="58" customFormat="false" ht="15" hidden="false" customHeight="true" outlineLevel="0" collapsed="false">
      <c r="A58" s="14" t="s">
        <v>232</v>
      </c>
      <c r="B58" s="14"/>
    </row>
    <row r="59" customFormat="false" ht="15" hidden="false" customHeight="true" outlineLevel="0" collapsed="false">
      <c r="A59" s="14" t="s">
        <v>233</v>
      </c>
      <c r="B59" s="14"/>
    </row>
    <row r="60" customFormat="false" ht="15" hidden="false" customHeight="true" outlineLevel="0" collapsed="false">
      <c r="A60" s="14" t="s">
        <v>234</v>
      </c>
      <c r="B60" s="14"/>
    </row>
    <row r="62" customFormat="false" ht="14.15" hidden="false" customHeight="false" outlineLevel="0" collapsed="false">
      <c r="A62" s="13" t="s">
        <v>235</v>
      </c>
      <c r="B62" s="13"/>
    </row>
    <row r="63" customFormat="false" ht="15" hidden="false" customHeight="true" outlineLevel="0" collapsed="false">
      <c r="A63" s="14" t="s">
        <v>236</v>
      </c>
      <c r="B63" s="14"/>
    </row>
    <row r="64" customFormat="false" ht="15" hidden="false" customHeight="true" outlineLevel="0" collapsed="false">
      <c r="A64" s="14" t="s">
        <v>237</v>
      </c>
      <c r="B64" s="14"/>
    </row>
    <row r="65" customFormat="false" ht="15" hidden="false" customHeight="true" outlineLevel="0" collapsed="false">
      <c r="A65" s="14" t="s">
        <v>238</v>
      </c>
      <c r="B65" s="14"/>
    </row>
    <row r="66" customFormat="false" ht="15" hidden="false" customHeight="true" outlineLevel="0" collapsed="false">
      <c r="A66" s="14" t="s">
        <v>117</v>
      </c>
      <c r="B66" s="14"/>
    </row>
    <row r="67" customFormat="false" ht="15" hidden="false" customHeight="true" outlineLevel="0" collapsed="false">
      <c r="A67" s="14" t="s">
        <v>239</v>
      </c>
      <c r="B67" s="14"/>
    </row>
    <row r="68" customFormat="false" ht="15" hidden="false" customHeight="true" outlineLevel="0" collapsed="false">
      <c r="A68" s="14" t="s">
        <v>240</v>
      </c>
      <c r="B68" s="14"/>
    </row>
    <row r="69" customFormat="false" ht="15" hidden="false" customHeight="true" outlineLevel="0" collapsed="false">
      <c r="A69" s="14" t="s">
        <v>241</v>
      </c>
      <c r="B69" s="14"/>
    </row>
    <row r="70" customFormat="false" ht="15" hidden="false" customHeight="true" outlineLevel="0" collapsed="false">
      <c r="A70" s="14" t="s">
        <v>242</v>
      </c>
      <c r="B70" s="14"/>
    </row>
    <row r="71" customFormat="false" ht="15" hidden="false" customHeight="true" outlineLevel="0" collapsed="false">
      <c r="A71" s="14" t="s">
        <v>243</v>
      </c>
      <c r="B71" s="14"/>
    </row>
    <row r="72" customFormat="false" ht="15" hidden="false" customHeight="true" outlineLevel="0" collapsed="false">
      <c r="A72" s="14" t="s">
        <v>244</v>
      </c>
      <c r="B72" s="14"/>
    </row>
    <row r="73" customFormat="false" ht="15" hidden="false" customHeight="true" outlineLevel="0" collapsed="false">
      <c r="A73" s="14" t="s">
        <v>245</v>
      </c>
      <c r="B73" s="14"/>
    </row>
    <row r="74" customFormat="false" ht="15" hidden="false" customHeight="true" outlineLevel="0" collapsed="false">
      <c r="A74" s="14" t="s">
        <v>246</v>
      </c>
      <c r="B74" s="14"/>
    </row>
    <row r="75" customFormat="false" ht="15" hidden="false" customHeight="true" outlineLevel="0" collapsed="false">
      <c r="A75" s="14" t="s">
        <v>87</v>
      </c>
      <c r="B75" s="14"/>
    </row>
    <row r="76" customFormat="false" ht="15" hidden="false" customHeight="true" outlineLevel="0" collapsed="false">
      <c r="A76" s="14" t="s">
        <v>247</v>
      </c>
      <c r="B76" s="14"/>
    </row>
    <row r="77" customFormat="false" ht="15" hidden="false" customHeight="true" outlineLevel="0" collapsed="false">
      <c r="A77" s="14" t="s">
        <v>248</v>
      </c>
      <c r="B77" s="14"/>
    </row>
    <row r="78" customFormat="false" ht="15" hidden="false" customHeight="true" outlineLevel="0" collapsed="false">
      <c r="A78" s="14" t="s">
        <v>249</v>
      </c>
      <c r="B78" s="14"/>
    </row>
    <row r="79" customFormat="false" ht="15" hidden="false" customHeight="true" outlineLevel="0" collapsed="false">
      <c r="A79" s="14" t="s">
        <v>250</v>
      </c>
      <c r="B79" s="14"/>
    </row>
    <row r="80" customFormat="false" ht="15" hidden="false" customHeight="true" outlineLevel="0" collapsed="false">
      <c r="A80" s="14" t="s">
        <v>251</v>
      </c>
      <c r="B80" s="14"/>
    </row>
    <row r="81" customFormat="false" ht="35.05" hidden="false" customHeight="true" outlineLevel="0" collapsed="false">
      <c r="A81" s="14" t="s">
        <v>252</v>
      </c>
      <c r="B81" s="14"/>
    </row>
    <row r="82" customFormat="false" ht="15" hidden="false" customHeight="true" outlineLevel="0" collapsed="false">
      <c r="A82" s="14" t="s">
        <v>253</v>
      </c>
      <c r="B82" s="14"/>
    </row>
  </sheetData>
  <mergeCells count="80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2026-08-08T16:18:39Z</dcterms:created>
  <dc:creator>openpyxl</dc:creator>
  <dc:description/>
  <dc:language>en-US</dc:language>
  <cp:lastModifiedBy/>
  <dcterms:modified xsi:type="dcterms:W3CDTF">2026-08-08T16:18:39Z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